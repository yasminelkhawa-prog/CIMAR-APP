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che d'embauche (2)" sheetId="1" state="visible" r:id="rId1"/>
    <sheet xmlns:r="http://schemas.openxmlformats.org/officeDocument/2006/relationships" name="Simulateur Mensuel" sheetId="2" state="visible" r:id="rId2"/>
    <sheet xmlns:r="http://schemas.openxmlformats.org/officeDocument/2006/relationships" name="Feuil2" sheetId="3" state="hidden" r:id="rId3"/>
  </sheets>
  <definedNames>
    <definedName name="_xlnm.Print_Area" localSheetId="0">'Fiche d''embauche (2)'!$A$2:$I$68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#,##0\ _F"/>
    <numFmt numFmtId="165" formatCode="#,##0.00\ _F"/>
    <numFmt numFmtId="166" formatCode="_-* #,##0.00_-;\-* #,##0.00_-;_-* &quot;-&quot;??_-;_-@_-"/>
    <numFmt numFmtId="167" formatCode="_-* #,##0.00\ _F_-;\-* #,##0.00\ _F_-;_-* &quot;-&quot;??\ _F_-;_-@_-"/>
  </numFmts>
  <fonts count="34">
    <font>
      <name val="Arial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b val="1"/>
      <sz val="6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color rgb="FFFF0000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color indexed="53"/>
      <sz val="12"/>
    </font>
    <font>
      <name val="Arial"/>
      <family val="2"/>
      <b val="1"/>
      <color indexed="61"/>
      <sz val="10"/>
    </font>
    <font>
      <name val="Times New Roman"/>
      <family val="1"/>
      <b val="1"/>
      <color indexed="62"/>
      <sz val="12"/>
    </font>
    <font>
      <name val="Arial"/>
      <family val="2"/>
      <color rgb="FFFF0000"/>
      <sz val="10"/>
    </font>
    <font>
      <name val="Arial"/>
      <family val="2"/>
      <color theme="0"/>
      <sz val="10"/>
    </font>
    <font>
      <name val="Arial"/>
      <family val="2"/>
      <b val="1"/>
      <color theme="0"/>
      <sz val="8"/>
    </font>
    <font>
      <name val="Arial"/>
      <family val="2"/>
      <b val="1"/>
      <color theme="0"/>
      <sz val="10"/>
    </font>
    <font>
      <name val="Arial"/>
      <family val="2"/>
      <sz val="10"/>
    </font>
    <font>
      <name val="Calibri"/>
      <family val="2"/>
      <b val="1"/>
      <color rgb="FFFF0000"/>
      <sz val="9"/>
    </font>
    <font>
      <name val="Calibri"/>
      <family val="2"/>
      <color theme="3"/>
      <sz val="9"/>
    </font>
    <font>
      <name val="Calibri"/>
      <family val="2"/>
      <color rgb="FF203864"/>
      <sz val="9"/>
    </font>
    <font>
      <name val="Arial"/>
      <family val="2"/>
      <color theme="3"/>
      <sz val="9"/>
    </font>
    <font>
      <name val="Arial"/>
      <family val="2"/>
      <i val="1"/>
      <sz val="10"/>
    </font>
    <font>
      <name val="Calibri"/>
      <family val="2"/>
      <b val="1"/>
      <color rgb="FFFF0000"/>
      <sz val="8"/>
    </font>
    <font>
      <name val="Arial"/>
      <family val="2"/>
      <sz val="8"/>
    </font>
    <font>
      <name val="Calibri"/>
      <family val="2"/>
      <color rgb="FFFF0000"/>
      <sz val="8"/>
    </font>
    <font>
      <name val="Arial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rgb="FF00B050"/>
      <sz val="7"/>
    </font>
    <font>
      <name val="Arial"/>
      <family val="2"/>
      <color rgb="FF00B050"/>
      <sz val="10"/>
    </font>
    <font>
      <name val="Calibri"/>
      <family val="2"/>
      <sz val="9"/>
    </font>
    <font>
      <name val="Arial"/>
      <family val="2"/>
      <b val="1"/>
      <color rgb="FFFF0000"/>
      <sz val="14"/>
    </font>
    <font>
      <name val="Calibri"/>
      <family val="2"/>
      <b val="1"/>
      <sz val="8"/>
    </font>
  </fonts>
  <fills count="11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DDD9C4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theme="2" tint="-0.09997863704336681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ck">
        <color indexed="55"/>
      </left>
      <right/>
      <top style="thick">
        <color indexed="55"/>
      </top>
      <bottom/>
      <diagonal/>
    </border>
    <border>
      <left/>
      <right/>
      <top style="thick">
        <color indexed="55"/>
      </top>
      <bottom/>
      <diagonal/>
    </border>
    <border>
      <left style="thick">
        <color indexed="55"/>
      </left>
      <right/>
      <top/>
      <bottom/>
      <diagonal/>
    </border>
    <border>
      <left style="thick">
        <color indexed="55"/>
      </left>
      <right/>
      <top style="medium">
        <color indexed="64"/>
      </top>
      <bottom style="medium">
        <color indexed="64"/>
      </bottom>
      <diagonal/>
    </border>
    <border>
      <left style="thick">
        <color indexed="55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55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55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55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55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55"/>
      </left>
      <right style="thin">
        <color indexed="64"/>
      </right>
      <top style="thin">
        <color indexed="64"/>
      </top>
      <bottom/>
      <diagonal/>
    </border>
    <border>
      <left style="thick">
        <color indexed="38"/>
      </left>
      <right style="thick">
        <color indexed="38"/>
      </right>
      <top style="thick">
        <color indexed="38"/>
      </top>
      <bottom style="thick">
        <color indexed="3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indexed="38"/>
      </right>
      <top style="thick">
        <color indexed="38"/>
      </top>
      <bottom style="thick">
        <color indexed="38"/>
      </bottom>
      <diagonal/>
    </border>
    <border>
      <left style="medium">
        <color indexed="64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medium">
        <color indexed="64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indexed="64"/>
      </left>
      <right style="medium">
        <color indexed="64"/>
      </right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/>
      <diagonal/>
    </border>
    <border>
      <left/>
      <right style="medium">
        <color indexed="64"/>
      </right>
      <top style="thin">
        <color rgb="FF00B050"/>
      </top>
      <bottom/>
      <diagonal/>
    </border>
    <border>
      <left style="thick">
        <color indexed="55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8" fillId="0" borderId="0"/>
    <xf numFmtId="167" fontId="18" fillId="0" borderId="0"/>
    <xf numFmtId="43" fontId="18" fillId="0" borderId="0"/>
  </cellStyleXfs>
  <cellXfs count="311"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1" fillId="0" borderId="0" pivotButton="0" quotePrefix="0" xfId="0"/>
    <xf numFmtId="15" fontId="3" fillId="0" borderId="5" applyAlignment="1" pivotButton="0" quotePrefix="0" xfId="0">
      <alignment horizontal="center"/>
    </xf>
    <xf numFmtId="0" fontId="0" fillId="0" borderId="7" pivotButton="0" quotePrefix="0" xfId="0"/>
    <xf numFmtId="0" fontId="3" fillId="0" borderId="9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4" fillId="0" borderId="4" pivotButton="0" quotePrefix="0" xfId="0"/>
    <xf numFmtId="0" fontId="3" fillId="0" borderId="5" pivotButton="0" quotePrefix="0" xfId="0"/>
    <xf numFmtId="0" fontId="3" fillId="0" borderId="0" pivotButton="0" quotePrefix="0" xfId="0"/>
    <xf numFmtId="0" fontId="3" fillId="0" borderId="4" pivotButton="0" quotePrefix="0" xfId="0"/>
    <xf numFmtId="0" fontId="5" fillId="0" borderId="0" applyAlignment="1" pivotButton="0" quotePrefix="0" xfId="0">
      <alignment horizontal="right"/>
    </xf>
    <xf numFmtId="0" fontId="3" fillId="0" borderId="8" pivotButton="0" quotePrefix="0" xfId="0"/>
    <xf numFmtId="0" fontId="5" fillId="0" borderId="10" applyAlignment="1" pivotButton="0" quotePrefix="0" xfId="0">
      <alignment horizontal="right"/>
    </xf>
    <xf numFmtId="0" fontId="3" fillId="0" borderId="10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0" fontId="3" fillId="0" borderId="10" pivotButton="0" quotePrefix="0" xfId="0"/>
    <xf numFmtId="16" fontId="0" fillId="0" borderId="0" pivotButton="0" quotePrefix="0" xfId="0"/>
    <xf numFmtId="0" fontId="2" fillId="0" borderId="6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2" fillId="0" borderId="10" pivotButton="0" quotePrefix="0" xfId="0"/>
    <xf numFmtId="3" fontId="2" fillId="0" borderId="5" pivotButton="0" quotePrefix="0" xfId="0"/>
    <xf numFmtId="0" fontId="6" fillId="0" borderId="0" pivotButton="0" quotePrefix="0" xfId="0"/>
    <xf numFmtId="0" fontId="5" fillId="0" borderId="4" applyAlignment="1" pivotButton="0" quotePrefix="0" xfId="0">
      <alignment horizontal="left"/>
    </xf>
    <xf numFmtId="3" fontId="6" fillId="0" borderId="13" applyAlignment="1" pivotButton="0" quotePrefix="0" xfId="0">
      <alignment horizontal="left"/>
    </xf>
    <xf numFmtId="0" fontId="0" fillId="0" borderId="13" applyAlignment="1" pivotButton="0" quotePrefix="0" xfId="0">
      <alignment horizontal="right"/>
    </xf>
    <xf numFmtId="3" fontId="2" fillId="0" borderId="13" applyAlignment="1" pivotButton="0" quotePrefix="0" xfId="0">
      <alignment horizontal="right"/>
    </xf>
    <xf numFmtId="0" fontId="6" fillId="0" borderId="13" pivotButton="0" quotePrefix="0" xfId="0"/>
    <xf numFmtId="0" fontId="0" fillId="0" borderId="13" pivotButton="0" quotePrefix="0" xfId="0"/>
    <xf numFmtId="3" fontId="2" fillId="0" borderId="14" pivotButton="0" quotePrefix="0" xfId="0"/>
    <xf numFmtId="0" fontId="6" fillId="0" borderId="13" applyAlignment="1" pivotButton="0" quotePrefix="0" xfId="0">
      <alignment horizontal="left"/>
    </xf>
    <xf numFmtId="0" fontId="6" fillId="0" borderId="15" applyAlignment="1" pivotButton="0" quotePrefix="0" xfId="0">
      <alignment horizontal="left"/>
    </xf>
    <xf numFmtId="0" fontId="0" fillId="0" borderId="15" pivotButton="0" quotePrefix="0" xfId="0"/>
    <xf numFmtId="3" fontId="2" fillId="0" borderId="15" applyAlignment="1" pivotButton="0" quotePrefix="0" xfId="0">
      <alignment horizontal="right"/>
    </xf>
    <xf numFmtId="3" fontId="2" fillId="0" borderId="16" pivotButton="0" quotePrefix="0" xfId="0"/>
    <xf numFmtId="0" fontId="6" fillId="0" borderId="0" applyAlignment="1" pivotButton="0" quotePrefix="0" xfId="0">
      <alignment horizontal="left"/>
    </xf>
    <xf numFmtId="0" fontId="9" fillId="0" borderId="0" pivotButton="0" quotePrefix="0" xfId="0"/>
    <xf numFmtId="4" fontId="1" fillId="2" borderId="41" applyAlignment="1" applyProtection="1" pivotButton="0" quotePrefix="0" xfId="0">
      <alignment horizontal="center"/>
      <protection locked="0" hidden="0"/>
    </xf>
    <xf numFmtId="9" fontId="2" fillId="2" borderId="41" applyAlignment="1" applyProtection="1" pivotButton="0" quotePrefix="0" xfId="0">
      <alignment horizontal="center"/>
      <protection locked="0" hidden="0"/>
    </xf>
    <xf numFmtId="4" fontId="2" fillId="2" borderId="41" applyAlignment="1" applyProtection="1" pivotButton="0" quotePrefix="0" xfId="2">
      <alignment horizontal="center"/>
      <protection locked="0" hidden="0"/>
    </xf>
    <xf numFmtId="4" fontId="1" fillId="2" borderId="41" applyAlignment="1" applyProtection="1" pivotButton="0" quotePrefix="0" xfId="2">
      <alignment horizontal="center"/>
      <protection locked="0" hidden="0"/>
    </xf>
    <xf numFmtId="3" fontId="0" fillId="0" borderId="0" pivotButton="0" quotePrefix="0" xfId="0"/>
    <xf numFmtId="0" fontId="0" fillId="0" borderId="42" pivotButton="0" quotePrefix="0" xfId="0"/>
    <xf numFmtId="3" fontId="2" fillId="0" borderId="0" pivotButton="0" quotePrefix="0" xfId="0"/>
    <xf numFmtId="0" fontId="14" fillId="0" borderId="0" pivotButton="0" quotePrefix="0" xfId="0"/>
    <xf numFmtId="0" fontId="14" fillId="0" borderId="42" pivotButton="0" quotePrefix="0" xfId="0"/>
    <xf numFmtId="0" fontId="2" fillId="0" borderId="0" pivotButton="0" quotePrefix="0" xfId="0"/>
    <xf numFmtId="0" fontId="0" fillId="0" borderId="0" pivotButton="0" quotePrefix="1" xfId="0"/>
    <xf numFmtId="3" fontId="6" fillId="0" borderId="0" applyAlignment="1" pivotButton="0" quotePrefix="1" xfId="0">
      <alignment horizontal="left"/>
    </xf>
    <xf numFmtId="14" fontId="6" fillId="0" borderId="0" pivotButton="0" quotePrefix="0" xfId="0"/>
    <xf numFmtId="0" fontId="15" fillId="3" borderId="1" pivotButton="0" quotePrefix="0" xfId="0"/>
    <xf numFmtId="0" fontId="15" fillId="3" borderId="4" pivotButton="0" quotePrefix="0" xfId="0"/>
    <xf numFmtId="0" fontId="16" fillId="3" borderId="4" pivotButton="0" quotePrefix="0" xfId="0"/>
    <xf numFmtId="0" fontId="16" fillId="3" borderId="8" pivotButton="0" quotePrefix="0" xfId="0"/>
    <xf numFmtId="0" fontId="3" fillId="3" borderId="3" pivotButton="0" quotePrefix="0" xfId="0"/>
    <xf numFmtId="0" fontId="0" fillId="3" borderId="3" pivotButton="0" quotePrefix="0" xfId="0"/>
    <xf numFmtId="0" fontId="16" fillId="3" borderId="1" pivotButton="0" quotePrefix="0" xfId="0"/>
    <xf numFmtId="0" fontId="16" fillId="3" borderId="2" pivotButton="0" quotePrefix="0" xfId="0"/>
    <xf numFmtId="0" fontId="16" fillId="3" borderId="0" applyAlignment="1" pivotButton="0" quotePrefix="0" xfId="0">
      <alignment horizontal="right"/>
    </xf>
    <xf numFmtId="0" fontId="15" fillId="3" borderId="0" pivotButton="0" quotePrefix="0" xfId="0"/>
    <xf numFmtId="0" fontId="16" fillId="3" borderId="3" applyAlignment="1" pivotButton="0" quotePrefix="0" xfId="0">
      <alignment horizontal="right"/>
    </xf>
    <xf numFmtId="0" fontId="17" fillId="3" borderId="3" applyAlignment="1" pivotButton="0" quotePrefix="0" xfId="0">
      <alignment horizontal="right"/>
    </xf>
    <xf numFmtId="0" fontId="16" fillId="3" borderId="3" pivotButton="0" quotePrefix="0" xfId="0"/>
    <xf numFmtId="0" fontId="15" fillId="3" borderId="3" pivotButton="0" quotePrefix="0" xfId="0"/>
    <xf numFmtId="0" fontId="2" fillId="0" borderId="5" applyAlignment="1" pivotButton="0" quotePrefix="0" xfId="0">
      <alignment horizontal="center"/>
    </xf>
    <xf numFmtId="0" fontId="0" fillId="4" borderId="17" pivotButton="0" quotePrefix="0" xfId="0"/>
    <xf numFmtId="0" fontId="0" fillId="4" borderId="18" pivotButton="0" quotePrefix="0" xfId="0"/>
    <xf numFmtId="0" fontId="0" fillId="4" borderId="19" pivotButton="0" quotePrefix="0" xfId="0"/>
    <xf numFmtId="0" fontId="0" fillId="4" borderId="0" pivotButton="0" quotePrefix="0" xfId="0"/>
    <xf numFmtId="0" fontId="12" fillId="4" borderId="21" applyAlignment="1" pivotButton="0" quotePrefix="0" xfId="0">
      <alignment horizontal="center"/>
    </xf>
    <xf numFmtId="0" fontId="12" fillId="4" borderId="22" applyAlignment="1" pivotButton="0" quotePrefix="0" xfId="0">
      <alignment horizontal="center"/>
    </xf>
    <xf numFmtId="0" fontId="12" fillId="4" borderId="23" applyAlignment="1" pivotButton="0" quotePrefix="0" xfId="0">
      <alignment horizontal="center"/>
    </xf>
    <xf numFmtId="0" fontId="0" fillId="4" borderId="24" applyAlignment="1" pivotButton="0" quotePrefix="0" xfId="0">
      <alignment horizontal="center"/>
    </xf>
    <xf numFmtId="9" fontId="0" fillId="4" borderId="25" applyAlignment="1" pivotButton="0" quotePrefix="0" xfId="0">
      <alignment horizontal="center"/>
    </xf>
    <xf numFmtId="0" fontId="0" fillId="4" borderId="26" applyAlignment="1" pivotButton="0" quotePrefix="0" xfId="0">
      <alignment horizontal="center"/>
    </xf>
    <xf numFmtId="0" fontId="0" fillId="4" borderId="27" applyAlignment="1" pivotButton="0" quotePrefix="0" xfId="0">
      <alignment horizontal="center"/>
    </xf>
    <xf numFmtId="9" fontId="0" fillId="4" borderId="7" applyAlignment="1" pivotButton="0" quotePrefix="0" xfId="0">
      <alignment horizontal="center"/>
    </xf>
    <xf numFmtId="0" fontId="0" fillId="4" borderId="28" applyAlignment="1" pivotButton="0" quotePrefix="0" xfId="0">
      <alignment horizontal="center"/>
    </xf>
    <xf numFmtId="9" fontId="0" fillId="4" borderId="29" applyAlignment="1" pivotButton="0" quotePrefix="0" xfId="0">
      <alignment horizontal="center"/>
    </xf>
    <xf numFmtId="0" fontId="0" fillId="4" borderId="30" applyAlignment="1" pivotButton="0" quotePrefix="0" xfId="0">
      <alignment horizontal="center"/>
    </xf>
    <xf numFmtId="0" fontId="0" fillId="4" borderId="31" applyAlignment="1" pivotButton="0" quotePrefix="0" xfId="0">
      <alignment horizontal="center"/>
    </xf>
    <xf numFmtId="9" fontId="0" fillId="4" borderId="32" applyAlignment="1" pivotButton="0" quotePrefix="0" xfId="0">
      <alignment horizontal="center"/>
    </xf>
    <xf numFmtId="0" fontId="0" fillId="4" borderId="33" applyAlignment="1" pivotButton="0" quotePrefix="0" xfId="0">
      <alignment horizontal="center"/>
    </xf>
    <xf numFmtId="0" fontId="12" fillId="4" borderId="34" applyAlignment="1" pivotButton="0" quotePrefix="0" xfId="0">
      <alignment horizontal="center"/>
    </xf>
    <xf numFmtId="0" fontId="12" fillId="4" borderId="35" applyAlignment="1" pivotButton="0" quotePrefix="0" xfId="0">
      <alignment horizontal="center"/>
    </xf>
    <xf numFmtId="0" fontId="12" fillId="4" borderId="36" applyAlignment="1" pivotButton="0" quotePrefix="0" xfId="0">
      <alignment horizontal="center"/>
    </xf>
    <xf numFmtId="0" fontId="2" fillId="4" borderId="37" applyAlignment="1" pivotButton="0" quotePrefix="0" xfId="0">
      <alignment vertical="center"/>
    </xf>
    <xf numFmtId="10" fontId="0" fillId="4" borderId="38" applyAlignment="1" pivotButton="0" quotePrefix="0" xfId="0">
      <alignment horizontal="center" vertical="center"/>
    </xf>
    <xf numFmtId="0" fontId="2" fillId="4" borderId="27" applyAlignment="1" pivotButton="0" quotePrefix="0" xfId="0">
      <alignment vertical="center"/>
    </xf>
    <xf numFmtId="10" fontId="0" fillId="4" borderId="7" applyAlignment="1" pivotButton="0" quotePrefix="0" xfId="0">
      <alignment horizontal="center" vertical="center"/>
    </xf>
    <xf numFmtId="164" fontId="0" fillId="4" borderId="28" applyAlignment="1" pivotButton="0" quotePrefix="0" xfId="0">
      <alignment horizontal="center" vertical="center" wrapText="1"/>
    </xf>
    <xf numFmtId="0" fontId="2" fillId="4" borderId="40" applyAlignment="1" pivotButton="0" quotePrefix="0" xfId="0">
      <alignment horizontal="left" vertical="center" wrapText="1"/>
    </xf>
    <xf numFmtId="10" fontId="0" fillId="4" borderId="29" applyAlignment="1" pivotButton="0" quotePrefix="0" xfId="0">
      <alignment horizontal="center" vertical="center"/>
    </xf>
    <xf numFmtId="164" fontId="0" fillId="4" borderId="30" applyAlignment="1" pivotButton="0" quotePrefix="0" xfId="0">
      <alignment horizontal="center" vertical="center" wrapText="1"/>
    </xf>
    <xf numFmtId="0" fontId="2" fillId="4" borderId="40" applyAlignment="1" pivotButton="0" quotePrefix="0" xfId="0">
      <alignment vertical="center"/>
    </xf>
    <xf numFmtId="0" fontId="2" fillId="4" borderId="31" applyAlignment="1" pivotButton="0" quotePrefix="0" xfId="0">
      <alignment vertical="center"/>
    </xf>
    <xf numFmtId="164" fontId="0" fillId="4" borderId="3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6" fillId="6" borderId="0" pivotButton="0" quotePrefix="0" xfId="0"/>
    <xf numFmtId="0" fontId="6" fillId="7" borderId="0" pivotButton="0" quotePrefix="0" xfId="0"/>
    <xf numFmtId="3" fontId="6" fillId="6" borderId="0" pivotButton="0" quotePrefix="0" xfId="0"/>
    <xf numFmtId="3" fontId="6" fillId="7" borderId="0" pivotButton="0" quotePrefix="0" xfId="0"/>
    <xf numFmtId="0" fontId="2" fillId="8" borderId="0" pivotButton="0" quotePrefix="0" xfId="0"/>
    <xf numFmtId="0" fontId="6" fillId="8" borderId="0" pivotButton="0" quotePrefix="0" xfId="0"/>
    <xf numFmtId="3" fontId="2" fillId="8" borderId="0" pivotButton="0" quotePrefix="0" xfId="0"/>
    <xf numFmtId="0" fontId="2" fillId="9" borderId="0" pivotButton="0" quotePrefix="0" xfId="0"/>
    <xf numFmtId="0" fontId="6" fillId="9" borderId="0" pivotButton="0" quotePrefix="0" xfId="0"/>
    <xf numFmtId="3" fontId="2" fillId="9" borderId="0" pivotButton="0" quotePrefix="0" xfId="0"/>
    <xf numFmtId="0" fontId="3" fillId="10" borderId="3" pivotButton="0" quotePrefix="0" xfId="0"/>
    <xf numFmtId="0" fontId="3" fillId="10" borderId="8" pivotButton="0" quotePrefix="0" xfId="0"/>
    <xf numFmtId="0" fontId="3" fillId="10" borderId="10" pivotButton="0" quotePrefix="0" xfId="0"/>
    <xf numFmtId="0" fontId="3" fillId="10" borderId="1" pivotButton="0" quotePrefix="0" xfId="0"/>
    <xf numFmtId="0" fontId="6" fillId="10" borderId="3" pivotButton="0" quotePrefix="0" xfId="0"/>
    <xf numFmtId="0" fontId="6" fillId="10" borderId="2" pivotButton="0" quotePrefix="0" xfId="0"/>
    <xf numFmtId="0" fontId="6" fillId="10" borderId="0" pivotButton="0" quotePrefix="0" xfId="0"/>
    <xf numFmtId="0" fontId="6" fillId="10" borderId="5" pivotButton="0" quotePrefix="0" xfId="0"/>
    <xf numFmtId="0" fontId="6" fillId="10" borderId="10" pivotButton="0" quotePrefix="0" xfId="0"/>
    <xf numFmtId="0" fontId="6" fillId="10" borderId="9" pivotButton="0" quotePrefix="0" xfId="0"/>
    <xf numFmtId="0" fontId="3" fillId="10" borderId="4" applyAlignment="1" pivotButton="0" quotePrefix="0" xfId="0">
      <alignment vertical="center"/>
    </xf>
    <xf numFmtId="0" fontId="3" fillId="10" borderId="0" applyAlignment="1" pivotButton="0" quotePrefix="0" xfId="0">
      <alignment vertical="center"/>
    </xf>
    <xf numFmtId="0" fontId="6" fillId="0" borderId="15" pivotButton="0" quotePrefix="0" xfId="0"/>
    <xf numFmtId="10" fontId="0" fillId="0" borderId="0" pivotButton="0" quotePrefix="0" xfId="1"/>
    <xf numFmtId="0" fontId="6" fillId="0" borderId="0" pivotButton="0" quotePrefix="1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/>
    </xf>
    <xf numFmtId="0" fontId="2" fillId="9" borderId="0" pivotButton="0" quotePrefix="1" xfId="0"/>
    <xf numFmtId="9" fontId="0" fillId="0" borderId="0" pivotButton="0" quotePrefix="0" xfId="0"/>
    <xf numFmtId="2" fontId="0" fillId="4" borderId="28" applyAlignment="1" pivotButton="0" quotePrefix="0" xfId="0">
      <alignment horizontal="center"/>
    </xf>
    <xf numFmtId="165" fontId="0" fillId="4" borderId="32" applyAlignment="1" pivotButton="0" quotePrefix="0" xfId="0">
      <alignment horizontal="center" vertical="center" wrapText="1"/>
    </xf>
    <xf numFmtId="1" fontId="2" fillId="2" borderId="43" applyAlignment="1" applyProtection="1" pivotButton="0" quotePrefix="0" xfId="0">
      <alignment horizontal="center"/>
      <protection locked="0" hidden="0"/>
    </xf>
    <xf numFmtId="165" fontId="0" fillId="4" borderId="39" applyAlignment="1" pivotButton="0" quotePrefix="0" xfId="0">
      <alignment horizontal="center" vertical="center" wrapText="1"/>
    </xf>
    <xf numFmtId="4" fontId="0" fillId="0" borderId="0" pivotButton="0" quotePrefix="0" xfId="0"/>
    <xf numFmtId="0" fontId="0" fillId="0" borderId="15" pivotButton="0" quotePrefix="0" xfId="0"/>
    <xf numFmtId="0" fontId="6" fillId="0" borderId="53" pivotButton="0" quotePrefix="0" xfId="0"/>
    <xf numFmtId="0" fontId="0" fillId="0" borderId="0" pivotButton="0" quotePrefix="0" xfId="0"/>
    <xf numFmtId="3" fontId="6" fillId="0" borderId="0" applyAlignment="1" pivotButton="0" quotePrefix="1" xfId="0">
      <alignment horizontal="left"/>
    </xf>
    <xf numFmtId="0" fontId="2" fillId="0" borderId="4" applyAlignment="1" pivotButton="0" quotePrefix="0" xfId="0">
      <alignment horizontal="left"/>
    </xf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3" fillId="0" borderId="0" pivotButton="0" quotePrefix="0" xfId="0"/>
    <xf numFmtId="0" fontId="6" fillId="0" borderId="52" pivotButton="0" quotePrefix="0" xfId="0"/>
    <xf numFmtId="0" fontId="0" fillId="0" borderId="13" pivotButton="0" quotePrefix="0" xfId="0"/>
    <xf numFmtId="0" fontId="2" fillId="0" borderId="0" pivotButton="0" quotePrefix="0" xfId="0"/>
    <xf numFmtId="16" fontId="0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3" fillId="0" borderId="4" pivotButton="0" quotePrefix="0" xfId="0"/>
    <xf numFmtId="0" fontId="3" fillId="0" borderId="0" pivotButton="0" quotePrefix="0" xfId="0"/>
    <xf numFmtId="0" fontId="3" fillId="0" borderId="5" pivotButton="0" quotePrefix="0" xfId="0"/>
    <xf numFmtId="0" fontId="3" fillId="0" borderId="8" pivotButton="0" quotePrefix="0" xfId="0"/>
    <xf numFmtId="0" fontId="3" fillId="0" borderId="10" pivotButton="0" quotePrefix="0" xfId="0"/>
    <xf numFmtId="0" fontId="3" fillId="0" borderId="9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6" fillId="0" borderId="10" applyAlignment="1" pivotButton="0" quotePrefix="0" xfId="0">
      <alignment horizontal="left"/>
    </xf>
    <xf numFmtId="0" fontId="24" fillId="0" borderId="7" applyAlignment="1" pivotButton="0" quotePrefix="0" xfId="0">
      <alignment vertical="center"/>
    </xf>
    <xf numFmtId="0" fontId="25" fillId="0" borderId="7" applyAlignment="1" pivotButton="0" quotePrefix="1" xfId="0">
      <alignment horizontal="center"/>
    </xf>
    <xf numFmtId="166" fontId="27" fillId="0" borderId="7" pivotButton="0" quotePrefix="0" xfId="3"/>
    <xf numFmtId="0" fontId="26" fillId="0" borderId="7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166" fontId="20" fillId="0" borderId="0" applyAlignment="1" pivotButton="0" quotePrefix="0" xfId="3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166" fontId="22" fillId="0" borderId="0" pivotButton="0" quotePrefix="0" xfId="3"/>
    <xf numFmtId="0" fontId="9" fillId="0" borderId="0" applyAlignment="1" pivotButton="0" quotePrefix="1" xfId="0">
      <alignment horizontal="center"/>
    </xf>
    <xf numFmtId="0" fontId="5" fillId="0" borderId="0" applyAlignment="1" pivotButton="0" quotePrefix="0" xfId="0">
      <alignment horizontal="left"/>
    </xf>
    <xf numFmtId="0" fontId="20" fillId="0" borderId="8" applyAlignment="1" pivotButton="0" quotePrefix="0" xfId="0">
      <alignment vertical="center"/>
    </xf>
    <xf numFmtId="0" fontId="22" fillId="0" borderId="9" applyAlignment="1" pivotButton="0" quotePrefix="0" xfId="0">
      <alignment horizontal="center"/>
    </xf>
    <xf numFmtId="0" fontId="20" fillId="0" borderId="1" applyAlignment="1" pivotButton="0" quotePrefix="0" xfId="0">
      <alignment vertical="center"/>
    </xf>
    <xf numFmtId="0" fontId="21" fillId="0" borderId="3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/>
    </xf>
    <xf numFmtId="0" fontId="9" fillId="0" borderId="10" applyAlignment="1" pivotButton="0" quotePrefix="1" xfId="0">
      <alignment horizontal="center"/>
    </xf>
    <xf numFmtId="0" fontId="2" fillId="0" borderId="0" applyAlignment="1" pivotButton="0" quotePrefix="0" xfId="0">
      <alignment vertical="center"/>
    </xf>
    <xf numFmtId="0" fontId="28" fillId="0" borderId="7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/>
    </xf>
    <xf numFmtId="166" fontId="25" fillId="0" borderId="7" pivotButton="0" quotePrefix="0" xfId="3"/>
    <xf numFmtId="0" fontId="30" fillId="0" borderId="3" pivotButton="0" quotePrefix="0" xfId="0"/>
    <xf numFmtId="0" fontId="0" fillId="3" borderId="0" pivotButton="0" quotePrefix="0" xfId="0"/>
    <xf numFmtId="0" fontId="14" fillId="0" borderId="0" pivotButton="0" quotePrefix="0" xfId="0"/>
    <xf numFmtId="0" fontId="16" fillId="10" borderId="4" applyAlignment="1" pivotButton="0" quotePrefix="0" xfId="0">
      <alignment horizontal="left"/>
    </xf>
    <xf numFmtId="0" fontId="16" fillId="10" borderId="0" applyAlignment="1" pivotButton="0" quotePrefix="0" xfId="0">
      <alignment horizontal="left"/>
    </xf>
    <xf numFmtId="0" fontId="20" fillId="0" borderId="4" applyAlignment="1" pivotButton="0" quotePrefix="0" xfId="0">
      <alignment vertical="center"/>
    </xf>
    <xf numFmtId="0" fontId="22" fillId="0" borderId="5" applyAlignment="1" pivotButton="0" quotePrefix="0" xfId="0">
      <alignment horizontal="center"/>
    </xf>
    <xf numFmtId="15" fontId="3" fillId="0" borderId="4" applyAlignment="1" pivotButton="0" quotePrefix="0" xfId="0">
      <alignment horizontal="center"/>
    </xf>
    <xf numFmtId="0" fontId="16" fillId="3" borderId="8" pivotButton="0" quotePrefix="0" xfId="0"/>
    <xf numFmtId="0" fontId="16" fillId="3" borderId="10" pivotButton="0" quotePrefix="0" xfId="0"/>
    <xf numFmtId="0" fontId="16" fillId="3" borderId="9" pivotButton="0" quotePrefix="0" xfId="0"/>
    <xf numFmtId="4" fontId="2" fillId="0" borderId="13" applyAlignment="1" pivotButton="0" quotePrefix="0" xfId="0">
      <alignment horizontal="center"/>
    </xf>
    <xf numFmtId="0" fontId="29" fillId="0" borderId="49" applyAlignment="1" pivotButton="0" quotePrefix="0" xfId="0">
      <alignment vertical="center"/>
    </xf>
    <xf numFmtId="0" fontId="29" fillId="0" borderId="38" applyAlignment="1" pivotButton="0" quotePrefix="0" xfId="0">
      <alignment vertical="center"/>
    </xf>
    <xf numFmtId="0" fontId="29" fillId="0" borderId="38" applyAlignment="1" pivotButton="0" quotePrefix="0" xfId="0">
      <alignment vertical="center" wrapText="1"/>
    </xf>
    <xf numFmtId="0" fontId="29" fillId="0" borderId="39" applyAlignment="1" pivotButton="0" quotePrefix="0" xfId="0">
      <alignment horizontal="center" vertical="center" wrapText="1"/>
    </xf>
    <xf numFmtId="0" fontId="28" fillId="0" borderId="32" applyAlignment="1" pivotButton="0" quotePrefix="0" xfId="0">
      <alignment horizontal="center" vertical="center"/>
    </xf>
    <xf numFmtId="0" fontId="25" fillId="0" borderId="33" applyAlignment="1" pivotButton="0" quotePrefix="0" xfId="0">
      <alignment horizontal="center"/>
    </xf>
    <xf numFmtId="0" fontId="9" fillId="0" borderId="14" applyAlignment="1" pivotButton="0" quotePrefix="0" xfId="0">
      <alignment horizontal="left"/>
    </xf>
    <xf numFmtId="4" fontId="2" fillId="0" borderId="13" applyAlignment="1" pivotButton="0" quotePrefix="0" xfId="0">
      <alignment horizontal="right"/>
    </xf>
    <xf numFmtId="3" fontId="2" fillId="0" borderId="0" applyAlignment="1" pivotButton="0" quotePrefix="1" xfId="0">
      <alignment horizontal="right"/>
    </xf>
    <xf numFmtId="9" fontId="0" fillId="0" borderId="10" pivotButton="0" quotePrefix="0" xfId="1"/>
    <xf numFmtId="0" fontId="26" fillId="0" borderId="7" applyAlignment="1" pivotButton="0" quotePrefix="1" xfId="0">
      <alignment horizontal="center" vertical="center"/>
    </xf>
    <xf numFmtId="0" fontId="27" fillId="0" borderId="28" applyAlignment="1" pivotButton="0" quotePrefix="0" xfId="0">
      <alignment horizontal="center"/>
    </xf>
    <xf numFmtId="0" fontId="24" fillId="0" borderId="50" applyAlignment="1" pivotButton="0" quotePrefix="0" xfId="0">
      <alignment vertical="center"/>
    </xf>
    <xf numFmtId="0" fontId="33" fillId="0" borderId="50" applyAlignment="1" pivotButton="0" quotePrefix="0" xfId="0">
      <alignment vertical="center"/>
    </xf>
    <xf numFmtId="0" fontId="33" fillId="0" borderId="7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4" fillId="0" borderId="7" applyAlignment="1" pivotButton="0" quotePrefix="1" xfId="0">
      <alignment horizontal="center" vertical="top"/>
    </xf>
    <xf numFmtId="0" fontId="33" fillId="0" borderId="50" applyAlignment="1" pivotButton="0" quotePrefix="0" xfId="0">
      <alignment vertical="top"/>
    </xf>
    <xf numFmtId="0" fontId="33" fillId="0" borderId="7" applyAlignment="1" pivotButton="0" quotePrefix="0" xfId="0">
      <alignment vertical="top"/>
    </xf>
    <xf numFmtId="166" fontId="25" fillId="0" borderId="7" applyAlignment="1" pivotButton="0" quotePrefix="0" xfId="3">
      <alignment vertical="top"/>
    </xf>
    <xf numFmtId="0" fontId="25" fillId="0" borderId="28" applyAlignment="1" pivotButton="0" quotePrefix="0" xfId="0">
      <alignment horizontal="center" vertical="top"/>
    </xf>
    <xf numFmtId="0" fontId="25" fillId="0" borderId="7" applyAlignment="1" pivotButton="0" quotePrefix="1" xfId="0">
      <alignment horizontal="center" vertical="top"/>
    </xf>
    <xf numFmtId="0" fontId="28" fillId="0" borderId="32" applyAlignment="1" pivotButton="0" quotePrefix="1" xfId="0">
      <alignment horizontal="center" vertical="center"/>
    </xf>
    <xf numFmtId="0" fontId="33" fillId="0" borderId="51" applyAlignment="1" pivotButton="0" quotePrefix="0" xfId="0">
      <alignment vertical="center"/>
    </xf>
    <xf numFmtId="0" fontId="33" fillId="0" borderId="32" applyAlignment="1" pivotButton="0" quotePrefix="0" xfId="0">
      <alignment vertical="center"/>
    </xf>
    <xf numFmtId="166" fontId="25" fillId="0" borderId="32" applyAlignment="1" pivotButton="0" quotePrefix="0" xfId="3">
      <alignment horizontal="center" vertical="center"/>
    </xf>
    <xf numFmtId="0" fontId="31" fillId="0" borderId="3" applyAlignment="1" pivotButton="0" quotePrefix="0" xfId="0">
      <alignment horizontal="left" vertical="center"/>
    </xf>
    <xf numFmtId="0" fontId="31" fillId="0" borderId="1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6" fillId="3" borderId="54" applyAlignment="1" pivotButton="0" quotePrefix="0" xfId="0">
      <alignment horizontal="center"/>
    </xf>
    <xf numFmtId="0" fontId="16" fillId="3" borderId="9" applyAlignment="1" pivotButton="0" quotePrefix="0" xfId="0">
      <alignment horizontal="center"/>
    </xf>
    <xf numFmtId="0" fontId="16" fillId="3" borderId="8" applyAlignment="1" pivotButton="0" quotePrefix="0" xfId="0">
      <alignment horizontal="center"/>
    </xf>
    <xf numFmtId="0" fontId="16" fillId="3" borderId="1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6" fillId="3" borderId="4" applyAlignment="1" pivotButton="0" quotePrefix="0" xfId="0">
      <alignment horizontal="left"/>
    </xf>
    <xf numFmtId="0" fontId="16" fillId="3" borderId="0" applyAlignment="1" pivotButton="0" quotePrefix="0" xfId="0">
      <alignment horizontal="left"/>
    </xf>
    <xf numFmtId="0" fontId="16" fillId="3" borderId="1" applyAlignment="1" pivotButton="0" quotePrefix="0" xfId="0">
      <alignment horizontal="left"/>
    </xf>
    <xf numFmtId="0" fontId="16" fillId="3" borderId="3" applyAlignment="1" pivotButton="0" quotePrefix="0" xfId="0">
      <alignment horizontal="left"/>
    </xf>
    <xf numFmtId="0" fontId="32" fillId="0" borderId="3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10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6" fillId="0" borderId="52" pivotButton="0" quotePrefix="0" xfId="0"/>
    <xf numFmtId="0" fontId="0" fillId="0" borderId="13" pivotButton="0" quotePrefix="0" xfId="0"/>
    <xf numFmtId="0" fontId="16" fillId="3" borderId="55" applyAlignment="1" pivotButton="0" quotePrefix="0" xfId="0">
      <alignment horizontal="left"/>
    </xf>
    <xf numFmtId="0" fontId="16" fillId="3" borderId="5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66" fontId="2" fillId="0" borderId="0" applyAlignment="1" pivotButton="0" quotePrefix="0" xfId="3">
      <alignment vertical="center"/>
    </xf>
    <xf numFmtId="14" fontId="6" fillId="0" borderId="0" applyAlignment="1" pivotButton="0" quotePrefix="0" xfId="0">
      <alignment horizontal="left"/>
    </xf>
    <xf numFmtId="166" fontId="2" fillId="0" borderId="0" applyAlignment="1" pivotButton="0" quotePrefix="0" xfId="3">
      <alignment vertical="center"/>
    </xf>
    <xf numFmtId="0" fontId="0" fillId="0" borderId="52" pivotButton="0" quotePrefix="0" xfId="0"/>
    <xf numFmtId="0" fontId="23" fillId="0" borderId="4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  <xf numFmtId="0" fontId="2" fillId="5" borderId="47" applyAlignment="1" pivotButton="0" quotePrefix="0" xfId="0">
      <alignment horizontal="left"/>
    </xf>
    <xf numFmtId="0" fontId="2" fillId="5" borderId="48" applyAlignment="1" pivotButton="0" quotePrefix="0" xfId="0">
      <alignment horizontal="left"/>
    </xf>
    <xf numFmtId="2" fontId="0" fillId="5" borderId="47" applyAlignment="1" pivotButton="0" quotePrefix="0" xfId="0">
      <alignment horizontal="center"/>
    </xf>
    <xf numFmtId="2" fontId="0" fillId="5" borderId="48" applyAlignment="1" pivotButton="0" quotePrefix="0" xfId="0">
      <alignment horizontal="center"/>
    </xf>
    <xf numFmtId="0" fontId="0" fillId="5" borderId="47" applyAlignment="1" pivotButton="0" quotePrefix="0" xfId="0">
      <alignment horizontal="center"/>
    </xf>
    <xf numFmtId="0" fontId="0" fillId="5" borderId="48" applyAlignment="1" pivotButton="0" quotePrefix="0" xfId="0">
      <alignment horizontal="center"/>
    </xf>
    <xf numFmtId="0" fontId="11" fillId="4" borderId="20" applyAlignment="1" pivotButton="0" quotePrefix="0" xfId="0">
      <alignment horizontal="center"/>
    </xf>
    <xf numFmtId="0" fontId="11" fillId="4" borderId="11" applyAlignment="1" pivotButton="0" quotePrefix="0" xfId="0">
      <alignment horizontal="center"/>
    </xf>
    <xf numFmtId="0" fontId="11" fillId="4" borderId="12" applyAlignment="1" pivotButton="0" quotePrefix="0" xfId="0">
      <alignment horizontal="center"/>
    </xf>
    <xf numFmtId="0" fontId="13" fillId="2" borderId="44" applyAlignment="1" applyProtection="1" pivotButton="0" quotePrefix="0" xfId="0">
      <alignment horizontal="left"/>
      <protection locked="0" hidden="0"/>
    </xf>
    <xf numFmtId="0" fontId="13" fillId="2" borderId="45" applyAlignment="1" applyProtection="1" pivotButton="0" quotePrefix="0" xfId="0">
      <alignment horizontal="left"/>
      <protection locked="0" hidden="0"/>
    </xf>
    <xf numFmtId="0" fontId="13" fillId="2" borderId="46" applyAlignment="1" applyProtection="1" pivotButton="0" quotePrefix="0" xfId="0">
      <alignment horizontal="left"/>
      <protection locked="0" hidden="0"/>
    </xf>
    <xf numFmtId="4" fontId="0" fillId="5" borderId="47" applyAlignment="1" pivotButton="0" quotePrefix="0" xfId="0">
      <alignment horizontal="center"/>
    </xf>
    <xf numFmtId="4" fontId="7" fillId="5" borderId="47" applyAlignment="1" pivotButton="0" quotePrefix="0" xfId="0">
      <alignment horizontal="center"/>
    </xf>
    <xf numFmtId="0" fontId="7" fillId="5" borderId="48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0" fontId="16" fillId="3" borderId="3" applyAlignment="1" pivotButton="0" quotePrefix="0" xfId="0">
      <alignment horizontal="center"/>
    </xf>
    <xf numFmtId="0" fontId="16" fillId="3" borderId="2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6" fillId="3" borderId="6" applyAlignment="1" pivotButton="0" quotePrefix="0" xfId="0">
      <alignment horizontal="center"/>
    </xf>
    <xf numFmtId="0" fontId="0" fillId="0" borderId="12" pivotButton="0" quotePrefix="0" xfId="0"/>
    <xf numFmtId="0" fontId="16" fillId="3" borderId="58" applyAlignment="1" pivotButton="0" quotePrefix="0" xfId="0">
      <alignment horizontal="center"/>
    </xf>
    <xf numFmtId="0" fontId="3" fillId="0" borderId="59" applyAlignment="1" pivotButton="0" quotePrefix="0" xfId="0">
      <alignment horizontal="center"/>
    </xf>
    <xf numFmtId="0" fontId="32" fillId="0" borderId="11" applyAlignment="1" pivotButton="0" quotePrefix="0" xfId="0">
      <alignment horizontal="center" vertical="center"/>
    </xf>
    <xf numFmtId="0" fontId="0" fillId="0" borderId="56" pivotButton="0" quotePrefix="0" xfId="0"/>
    <xf numFmtId="166" fontId="2" fillId="0" borderId="0" applyAlignment="1" pivotButton="0" quotePrefix="0" xfId="3">
      <alignment vertical="center"/>
    </xf>
    <xf numFmtId="166" fontId="27" fillId="0" borderId="7" pivotButton="0" quotePrefix="0" xfId="3"/>
    <xf numFmtId="166" fontId="25" fillId="0" borderId="7" pivotButton="0" quotePrefix="0" xfId="3"/>
    <xf numFmtId="166" fontId="25" fillId="0" borderId="7" applyAlignment="1" pivotButton="0" quotePrefix="0" xfId="3">
      <alignment vertical="top"/>
    </xf>
    <xf numFmtId="166" fontId="25" fillId="0" borderId="32" applyAlignment="1" pivotButton="0" quotePrefix="0" xfId="3">
      <alignment horizontal="center" vertical="center"/>
    </xf>
    <xf numFmtId="166" fontId="20" fillId="0" borderId="0" applyAlignment="1" pivotButton="0" quotePrefix="0" xfId="3">
      <alignment horizontal="center" vertical="center"/>
    </xf>
    <xf numFmtId="0" fontId="31" fillId="0" borderId="11" applyAlignment="1" pivotButton="0" quotePrefix="0" xfId="0">
      <alignment horizontal="left" vertical="center"/>
    </xf>
    <xf numFmtId="166" fontId="22" fillId="0" borderId="0" pivotButton="0" quotePrefix="0" xfId="3"/>
    <xf numFmtId="0" fontId="11" fillId="4" borderId="66" applyAlignment="1" pivotButton="0" quotePrefix="0" xfId="0">
      <alignment horizontal="center"/>
    </xf>
    <xf numFmtId="0" fontId="0" fillId="0" borderId="11" pivotButton="0" quotePrefix="0" xfId="0"/>
    <xf numFmtId="165" fontId="0" fillId="4" borderId="39" applyAlignment="1" pivotButton="0" quotePrefix="0" xfId="0">
      <alignment horizontal="center" vertical="center" wrapText="1"/>
    </xf>
    <xf numFmtId="165" fontId="0" fillId="4" borderId="32" applyAlignment="1" pivotButton="0" quotePrefix="0" xfId="0">
      <alignment horizontal="center" vertical="center" wrapText="1"/>
    </xf>
    <xf numFmtId="0" fontId="13" fillId="2" borderId="63" applyAlignment="1" applyProtection="1" pivotButton="0" quotePrefix="0" xfId="0">
      <alignment horizontal="left"/>
      <protection locked="0" hidden="0"/>
    </xf>
    <xf numFmtId="0" fontId="0" fillId="0" borderId="45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2" fillId="5" borderId="60" applyAlignment="1" pivotButton="0" quotePrefix="0" xfId="0">
      <alignment horizontal="left"/>
    </xf>
    <xf numFmtId="0" fontId="0" fillId="0" borderId="48" pivotButton="0" quotePrefix="0" xfId="0"/>
    <xf numFmtId="2" fontId="0" fillId="5" borderId="60" applyAlignment="1" pivotButton="0" quotePrefix="0" xfId="0">
      <alignment horizontal="center"/>
    </xf>
    <xf numFmtId="0" fontId="0" fillId="5" borderId="60" applyAlignment="1" pivotButton="0" quotePrefix="0" xfId="0">
      <alignment horizontal="center"/>
    </xf>
    <xf numFmtId="4" fontId="0" fillId="5" borderId="60" applyAlignment="1" pivotButton="0" quotePrefix="0" xfId="0">
      <alignment horizontal="center"/>
    </xf>
    <xf numFmtId="4" fontId="7" fillId="5" borderId="60" applyAlignment="1" pivotButton="0" quotePrefix="0" xfId="0">
      <alignment horizontal="center"/>
    </xf>
    <xf numFmtId="0" fontId="16" fillId="3" borderId="59" applyAlignment="1" pivotButton="0" quotePrefix="0" xfId="0">
      <alignment horizontal="center"/>
    </xf>
  </cellXfs>
  <cellStyles count="4">
    <cellStyle name="Normal" xfId="0" builtinId="0"/>
    <cellStyle name="Pourcentage" xfId="1" builtinId="5"/>
    <cellStyle name="Milliers 2" xfId="2"/>
    <cellStyle name="Milliers" xfId="3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75"/>
  <sheetViews>
    <sheetView showGridLines="0" tabSelected="1" zoomScale="88" zoomScaleNormal="88" workbookViewId="0">
      <selection activeCell="A8" sqref="A8:B8"/>
    </sheetView>
  </sheetViews>
  <sheetFormatPr baseColWidth="10" defaultColWidth="11.42578125" defaultRowHeight="12.75"/>
  <cols>
    <col width="13.5703125" customWidth="1" style="141" min="1" max="1"/>
    <col width="18.85546875" customWidth="1" style="141" min="2" max="2"/>
    <col width="9.28515625" customWidth="1" style="141" min="3" max="3"/>
    <col width="9" customWidth="1" style="141" min="4" max="4"/>
    <col width="10.42578125" customWidth="1" style="141" min="5" max="5"/>
    <col width="9.85546875" customWidth="1" style="141" min="6" max="6"/>
    <col width="10.85546875" customWidth="1" style="141" min="7" max="7"/>
    <col width="9.7109375" customWidth="1" style="141" min="8" max="8"/>
    <col width="17.140625" customWidth="1" style="141" min="9" max="9"/>
    <col width="14.42578125" customWidth="1" style="141" min="10" max="10"/>
  </cols>
  <sheetData>
    <row r="1" ht="13.5" customHeight="1" s="141" thickBot="1"/>
    <row r="2" ht="3" customHeight="1" s="141">
      <c r="A2" s="57" t="n"/>
      <c r="B2" s="282" t="inlineStr">
        <is>
          <t>FICHE DE VALIDATION D'EMBAUCHE</t>
        </is>
      </c>
      <c r="C2" s="3" t="n"/>
      <c r="D2" s="3" t="n"/>
      <c r="E2" s="3" t="n"/>
      <c r="F2" s="3" t="n"/>
      <c r="G2" s="3" t="n"/>
      <c r="H2" s="3" t="n"/>
      <c r="I2" s="1" t="n"/>
    </row>
    <row r="3" ht="12.95" customHeight="1" s="141">
      <c r="A3" s="58" t="n"/>
      <c r="B3" s="5" t="n"/>
      <c r="I3" s="4" t="n"/>
    </row>
    <row r="4" ht="12.6" customHeight="1" s="141">
      <c r="A4" s="193">
        <f>TODAY()</f>
        <v/>
      </c>
      <c r="B4" s="5" t="n"/>
      <c r="I4" s="4" t="n"/>
    </row>
    <row r="5" ht="12.95" customHeight="1" s="141">
      <c r="A5" s="59" t="n"/>
      <c r="B5" s="5" t="n"/>
      <c r="I5" s="4" t="n"/>
      <c r="L5" s="8" t="n"/>
    </row>
    <row r="6" ht="3" customHeight="1" s="141" thickBot="1">
      <c r="A6" s="194" t="n"/>
      <c r="B6" s="10" t="n"/>
      <c r="C6" s="11" t="n"/>
      <c r="D6" s="11" t="n"/>
      <c r="E6" s="11" t="n"/>
      <c r="F6" s="11" t="n"/>
      <c r="G6" s="11" t="n"/>
      <c r="H6" s="11" t="n"/>
      <c r="I6" s="12" t="n"/>
    </row>
    <row r="7" ht="13.5" customHeight="1" s="141" thickBot="1">
      <c r="A7" s="283" t="inlineStr">
        <is>
          <t>Direction Demandeuse</t>
        </is>
      </c>
      <c r="B7" s="284" t="n"/>
      <c r="C7" s="285" t="inlineStr">
        <is>
          <t>Direction RH</t>
        </is>
      </c>
      <c r="D7" s="11" t="n"/>
      <c r="E7" s="11" t="n"/>
      <c r="F7" s="12" t="n"/>
      <c r="G7" s="194" t="n"/>
      <c r="H7" s="195" t="inlineStr">
        <is>
          <t>Direction Générale</t>
        </is>
      </c>
      <c r="I7" s="196" t="n"/>
    </row>
    <row r="8">
      <c r="A8" s="286" t="inlineStr">
        <is>
          <t>{directionDemandeuseName}</t>
        </is>
      </c>
      <c r="B8" s="1" t="n"/>
      <c r="C8" s="286" t="inlineStr">
        <is>
          <t>{directionRHName}</t>
        </is>
      </c>
      <c r="D8" s="3" t="n"/>
      <c r="E8" s="3" t="n"/>
      <c r="F8" s="1" t="n"/>
      <c r="G8" s="286" t="inlineStr">
        <is>
          <t>{directionGeneraleName}</t>
        </is>
      </c>
      <c r="H8" s="3" t="n"/>
      <c r="I8" s="1" t="n"/>
      <c r="J8" s="155" t="n"/>
    </row>
    <row r="9">
      <c r="A9" s="154" t="n"/>
      <c r="B9" s="156" t="n"/>
      <c r="C9" s="154" t="n"/>
      <c r="D9" s="155" t="n"/>
      <c r="E9" s="155" t="n"/>
      <c r="F9" s="156" t="n"/>
      <c r="G9" s="154" t="n"/>
      <c r="H9" s="155" t="n"/>
      <c r="I9" s="156" t="n"/>
      <c r="J9" s="155" t="n"/>
    </row>
    <row r="10">
      <c r="A10" s="154" t="n"/>
      <c r="B10" s="156" t="n"/>
      <c r="C10" s="154" t="n"/>
      <c r="D10" s="155" t="n"/>
      <c r="E10" s="155" t="n"/>
      <c r="F10" s="156" t="n"/>
      <c r="G10" s="154" t="n"/>
      <c r="H10" s="155" t="n"/>
      <c r="I10" s="156" t="n"/>
      <c r="J10" s="155" t="n"/>
    </row>
    <row r="11">
      <c r="A11" s="154" t="n"/>
      <c r="B11" s="156" t="n"/>
      <c r="C11" s="154" t="n"/>
      <c r="D11" s="155" t="n"/>
      <c r="E11" s="155" t="n"/>
      <c r="F11" s="156" t="n"/>
      <c r="G11" s="154" t="n"/>
      <c r="H11" s="155" t="n"/>
      <c r="I11" s="156" t="n"/>
      <c r="J11" s="155" t="n"/>
    </row>
    <row r="12" ht="13.5" customHeight="1" s="141" thickBot="1">
      <c r="A12" s="157" t="n"/>
      <c r="B12" s="159" t="n"/>
      <c r="C12" s="157" t="n"/>
      <c r="D12" s="158" t="n"/>
      <c r="E12" s="158" t="n"/>
      <c r="F12" s="159" t="n"/>
      <c r="G12" s="157" t="n"/>
      <c r="H12" s="158" t="n"/>
      <c r="I12" s="159" t="n"/>
      <c r="J12" s="155" t="n"/>
    </row>
    <row r="13">
      <c r="A13" s="242" t="inlineStr">
        <is>
          <t>Fonction</t>
        </is>
      </c>
      <c r="C13" s="187" t="n"/>
      <c r="I13" s="4" t="n"/>
    </row>
    <row r="14" ht="15" customHeight="1" s="141">
      <c r="A14" s="213" t="inlineStr">
        <is>
          <t>Titre de poste:</t>
        </is>
      </c>
      <c r="B14" s="182" t="n"/>
      <c r="C14" s="145" t="inlineStr">
        <is>
          <t>{titrePoste}</t>
        </is>
      </c>
      <c r="E14" s="151" t="n"/>
      <c r="I14" s="4" t="n"/>
    </row>
    <row r="15">
      <c r="A15" s="154" t="n"/>
      <c r="B15" s="144" t="n"/>
      <c r="I15" s="4" t="n"/>
    </row>
    <row r="16">
      <c r="A16" s="251" t="inlineStr">
        <is>
          <t>Direction/ Département:</t>
        </is>
      </c>
      <c r="C16" s="145" t="inlineStr">
        <is>
          <t>{directionDepartement}</t>
        </is>
      </c>
      <c r="E16" s="149" t="n"/>
      <c r="I16" s="4" t="n"/>
    </row>
    <row r="17">
      <c r="A17" s="251" t="n"/>
      <c r="B17" s="252" t="n"/>
      <c r="C17" s="145" t="n"/>
      <c r="E17" s="149" t="n"/>
      <c r="I17" s="4" t="n"/>
    </row>
    <row r="18">
      <c r="A18" s="251" t="inlineStr">
        <is>
          <t xml:space="preserve">Rattachement Hiérarchique: </t>
        </is>
      </c>
      <c r="B18" s="252" t="n"/>
      <c r="C18" s="145" t="inlineStr">
        <is>
          <t>{rattachementHierarchique}</t>
        </is>
      </c>
      <c r="E18" s="149" t="n"/>
      <c r="I18" s="4" t="n"/>
    </row>
    <row r="19">
      <c r="A19" s="154" t="n"/>
      <c r="B19" s="144" t="n"/>
      <c r="C19" s="145" t="n"/>
      <c r="E19" s="149" t="n"/>
      <c r="I19" s="4" t="n"/>
    </row>
    <row r="20">
      <c r="A20" s="251" t="inlineStr">
        <is>
          <t xml:space="preserve">Motif de recrutement: </t>
        </is>
      </c>
      <c r="C20" s="145" t="inlineStr">
        <is>
          <t>{motifRecrutement}</t>
        </is>
      </c>
      <c r="E20" s="149" t="n"/>
      <c r="F20" s="145" t="n"/>
      <c r="I20" s="4" t="n"/>
    </row>
    <row r="21" ht="15" customHeight="1" s="141" thickBot="1">
      <c r="A21" s="154" t="n"/>
      <c r="B21" s="144" t="n"/>
      <c r="I21" s="4" t="n"/>
      <c r="K21" s="188" t="inlineStr">
        <is>
          <t>Cadre :</t>
        </is>
      </c>
      <c r="L21" s="188" t="n"/>
      <c r="M21" s="188" t="n">
        <v>91</v>
      </c>
      <c r="N21" s="188" t="inlineStr">
        <is>
          <t>Dh/jour fixe</t>
        </is>
      </c>
      <c r="O21" s="52" t="inlineStr">
        <is>
          <t>{ikCadreSelected}</t>
        </is>
      </c>
      <c r="P21" s="188">
        <f>M21*O21</f>
        <v/>
      </c>
    </row>
    <row r="22" ht="15" customHeight="1" s="141">
      <c r="A22" s="244" t="inlineStr">
        <is>
          <t>Nom &amp; Prénom du candidat retenu</t>
        </is>
      </c>
      <c r="B22" s="3" t="n"/>
      <c r="C22" s="3" t="n"/>
      <c r="D22" s="287" t="inlineStr">
        <is>
          <t>{nomPrenom}</t>
        </is>
      </c>
      <c r="E22" s="3" t="n"/>
      <c r="F22" s="3" t="n"/>
      <c r="G22" s="3" t="n"/>
      <c r="H22" s="3" t="n"/>
      <c r="I22" s="1" t="n"/>
      <c r="K22" s="188" t="inlineStr">
        <is>
          <t>Chef de département :</t>
        </is>
      </c>
      <c r="L22" s="188" t="n"/>
      <c r="M22" s="188" t="n">
        <v>127</v>
      </c>
      <c r="N22" s="188" t="inlineStr">
        <is>
          <t>Dh/jour fixe</t>
        </is>
      </c>
      <c r="O22" s="52" t="inlineStr">
        <is>
          <t>{ikChefSelected}</t>
        </is>
      </c>
      <c r="P22" s="188">
        <f>M22*O22</f>
        <v/>
      </c>
    </row>
    <row r="23" ht="15" customHeight="1" s="141">
      <c r="A23" s="189" t="n"/>
      <c r="B23" s="190" t="n"/>
      <c r="C23" s="190" t="n"/>
      <c r="I23" s="4" t="n"/>
      <c r="K23" s="188" t="n"/>
      <c r="L23" s="188" t="n"/>
      <c r="M23" s="188" t="n"/>
      <c r="N23" s="188" t="n"/>
      <c r="O23" s="188" t="n"/>
      <c r="P23" s="188" t="n"/>
    </row>
    <row r="24" ht="15" customHeight="1" s="141" thickBot="1">
      <c r="A24" s="157" t="n"/>
      <c r="B24" s="20" t="n"/>
      <c r="C24" s="11" t="n"/>
      <c r="D24" s="11" t="n"/>
      <c r="E24" s="11" t="n"/>
      <c r="F24" s="11" t="n"/>
      <c r="G24" s="11" t="n"/>
      <c r="H24" s="11" t="n"/>
      <c r="I24" s="12" t="n"/>
    </row>
    <row r="25" ht="15" customHeight="1" s="141">
      <c r="A25" s="244" t="inlineStr">
        <is>
          <t>REÇU EN ENTRETIEN PAR :</t>
        </is>
      </c>
      <c r="B25" s="3" t="n"/>
      <c r="C25" s="3" t="n"/>
      <c r="D25" s="21" t="n"/>
      <c r="E25" s="3" t="n"/>
      <c r="F25" s="3" t="n"/>
      <c r="G25" s="3" t="n"/>
      <c r="H25" s="3" t="n"/>
      <c r="I25" s="1" t="n"/>
      <c r="K25" s="145" t="inlineStr">
        <is>
          <t>Ait Baha :</t>
        </is>
      </c>
      <c r="M25" t="n">
        <v>130</v>
      </c>
      <c r="N25" s="145" t="inlineStr">
        <is>
          <t>kms</t>
        </is>
      </c>
      <c r="O25" s="49" t="inlineStr">
        <is>
          <t>{ikAitBahaSelected}</t>
        </is>
      </c>
      <c r="P25">
        <f>M25*O25</f>
        <v/>
      </c>
    </row>
    <row r="26" ht="15" customHeight="1" s="141">
      <c r="A26" s="5" t="n"/>
      <c r="B26" s="152" t="inlineStr">
        <is>
          <t>{interviewer1Name}</t>
        </is>
      </c>
      <c r="E26" s="145" t="inlineStr">
        <is>
          <t>{interviewer1Avis}</t>
        </is>
      </c>
      <c r="I26" s="4" t="n"/>
      <c r="K26" s="145" t="inlineStr">
        <is>
          <t>Marrakech :</t>
        </is>
      </c>
      <c r="M26" t="n">
        <v>110</v>
      </c>
      <c r="N26" s="145" t="inlineStr">
        <is>
          <t>kms</t>
        </is>
      </c>
      <c r="O26" s="49" t="inlineStr">
        <is>
          <t>{ikMarrakechSelected}</t>
        </is>
      </c>
      <c r="P26">
        <f>M26*O26</f>
        <v/>
      </c>
    </row>
    <row r="27" ht="15" customHeight="1" s="141">
      <c r="A27" s="5" t="n"/>
      <c r="B27" s="152" t="inlineStr">
        <is>
          <t>{interviewer2Name}</t>
        </is>
      </c>
      <c r="E27" s="145" t="inlineStr">
        <is>
          <t>{interviewer2Avis}</t>
        </is>
      </c>
      <c r="I27" s="4" t="n"/>
      <c r="K27" s="145" t="inlineStr">
        <is>
          <t>Safi :</t>
        </is>
      </c>
      <c r="M27" t="n">
        <v>70</v>
      </c>
      <c r="N27" s="145" t="inlineStr">
        <is>
          <t>kms</t>
        </is>
      </c>
      <c r="O27" s="49" t="inlineStr">
        <is>
          <t>{ikSafiSelected}</t>
        </is>
      </c>
      <c r="P27">
        <f>M27*O27</f>
        <v/>
      </c>
    </row>
    <row r="28" ht="15" customHeight="1" s="141">
      <c r="A28" s="5" t="n"/>
      <c r="B28" s="152" t="inlineStr">
        <is>
          <t>{interviewer3Name}</t>
        </is>
      </c>
      <c r="E28" s="145" t="inlineStr">
        <is>
          <t>{interviewer3Avis}</t>
        </is>
      </c>
      <c r="I28" s="4" t="n"/>
      <c r="K28" s="145" t="inlineStr">
        <is>
          <t>Laâyoune</t>
        </is>
      </c>
      <c r="M28" t="n">
        <v>72</v>
      </c>
      <c r="N28" s="145" t="inlineStr">
        <is>
          <t>kms</t>
        </is>
      </c>
      <c r="O28" s="49" t="inlineStr">
        <is>
          <t>{ikLaayouneSelected}</t>
        </is>
      </c>
      <c r="P28">
        <f>M28*O28</f>
        <v/>
      </c>
    </row>
    <row r="29" ht="15" customHeight="1" s="141">
      <c r="A29" s="5" t="n"/>
      <c r="B29" s="152" t="inlineStr">
        <is>
          <t>{interviewer4Name}</t>
        </is>
      </c>
      <c r="E29" s="145" t="inlineStr">
        <is>
          <t>{interviewer4Avis}</t>
        </is>
      </c>
      <c r="I29" s="4" t="n"/>
      <c r="K29" s="145" t="inlineStr">
        <is>
          <t>Jorf Lasfar :</t>
        </is>
      </c>
      <c r="M29" t="n">
        <v>64</v>
      </c>
      <c r="N29" s="145" t="inlineStr">
        <is>
          <t>kms</t>
        </is>
      </c>
      <c r="O29" s="49" t="inlineStr">
        <is>
          <t>{ikJorfSelected}</t>
        </is>
      </c>
      <c r="P29">
        <f>M29*O29</f>
        <v/>
      </c>
    </row>
    <row r="30" ht="15" customHeight="1" s="141">
      <c r="A30" s="5" t="n"/>
      <c r="B30" s="152" t="n"/>
      <c r="E30" s="145" t="n"/>
      <c r="I30" s="4" t="n"/>
      <c r="K30" s="145" t="inlineStr">
        <is>
          <t>Casablanca :</t>
        </is>
      </c>
      <c r="M30" t="n">
        <v>50</v>
      </c>
      <c r="N30" s="145" t="inlineStr">
        <is>
          <t>kms</t>
        </is>
      </c>
      <c r="O30" s="49" t="inlineStr">
        <is>
          <t>{ikCasablancaSelected}</t>
        </is>
      </c>
      <c r="P30">
        <f>M30*O30</f>
        <v/>
      </c>
    </row>
    <row r="31" ht="15" customHeight="1" s="141" thickBot="1">
      <c r="A31" s="157" t="n"/>
      <c r="B31" s="152" t="n"/>
      <c r="C31" s="11" t="n"/>
      <c r="D31" s="11" t="n"/>
      <c r="E31" s="11" t="n"/>
      <c r="F31" s="11" t="n"/>
      <c r="G31" s="11" t="n"/>
      <c r="H31" s="11" t="n"/>
      <c r="I31" s="12" t="n"/>
    </row>
    <row r="32">
      <c r="A32" s="63" t="inlineStr">
        <is>
          <t>Entrée en fonction:</t>
        </is>
      </c>
      <c r="B32" s="69" t="n"/>
      <c r="C32" s="70" t="n"/>
      <c r="D32" s="3" t="n"/>
      <c r="E32" s="3" t="n"/>
      <c r="F32" s="3" t="n"/>
      <c r="G32" s="3" t="n"/>
      <c r="H32" s="3" t="n"/>
      <c r="I32" s="1" t="n"/>
      <c r="K32" s="145" t="inlineStr">
        <is>
          <t>Nombre de jours travaillés</t>
        </is>
      </c>
      <c r="M32" t="inlineStr">
        <is>
          <t>{nombreJoursTravailles}</t>
        </is>
      </c>
      <c r="N32" s="145" t="inlineStr">
        <is>
          <t>jours</t>
        </is>
      </c>
      <c r="O32" s="50">
        <f>22*(O21*P21+O22*P22+2*(P25+P26+P27+P28+P29+P30))</f>
        <v/>
      </c>
      <c r="P32" s="149" t="inlineStr">
        <is>
          <t>Dhs</t>
        </is>
      </c>
    </row>
    <row r="33">
      <c r="A33" s="154" t="n"/>
      <c r="B33" s="152" t="inlineStr">
        <is>
          <t>Durée de préavis:</t>
        </is>
      </c>
      <c r="E33" s="257" t="inlineStr">
        <is>
          <t>{dureePreavis}</t>
        </is>
      </c>
      <c r="G33" s="160" t="n"/>
      <c r="I33" s="4" t="n"/>
      <c r="O33" s="145" t="n"/>
    </row>
    <row r="34">
      <c r="A34" s="154" t="n"/>
      <c r="B34" s="152" t="inlineStr">
        <is>
          <t>Entrée envisagé le:</t>
        </is>
      </c>
      <c r="D34" s="150" t="n"/>
      <c r="E34" s="259" t="inlineStr">
        <is>
          <t>{entreeEnvisagee}</t>
        </is>
      </c>
      <c r="G34" s="160" t="n"/>
      <c r="I34" s="4" t="n"/>
    </row>
    <row r="35">
      <c r="A35" s="154" t="n"/>
      <c r="B35" s="152" t="inlineStr">
        <is>
          <t>Statut:</t>
        </is>
      </c>
      <c r="E35" s="257" t="inlineStr">
        <is>
          <t>{statut}</t>
        </is>
      </c>
      <c r="G35" s="160" t="n"/>
      <c r="I35" s="4" t="n"/>
    </row>
    <row r="36">
      <c r="A36" s="154" t="n"/>
      <c r="B36" s="152" t="inlineStr">
        <is>
          <t>Type de contrat:</t>
        </is>
      </c>
      <c r="E36" s="257" t="inlineStr">
        <is>
          <t>{typeContrat}</t>
        </is>
      </c>
      <c r="I36" s="4" t="n"/>
    </row>
    <row r="37">
      <c r="A37" s="154" t="n"/>
      <c r="B37" s="152" t="inlineStr">
        <is>
          <t>Durée de période d'essai</t>
        </is>
      </c>
      <c r="E37" s="257" t="inlineStr">
        <is>
          <t>{dureePeriodeEssai}</t>
        </is>
      </c>
      <c r="I37" s="4" t="n"/>
    </row>
    <row r="38" ht="15.75" customHeight="1" s="141">
      <c r="A38" s="154" t="n"/>
      <c r="B38" s="152" t="inlineStr">
        <is>
          <t xml:space="preserve">Voiture liée au poste: </t>
        </is>
      </c>
      <c r="E38" s="257" t="inlineStr">
        <is>
          <t>{voitureLieePoste}</t>
        </is>
      </c>
      <c r="I38" s="4" t="n"/>
      <c r="Q38" s="25">
        <f>D22</f>
        <v/>
      </c>
    </row>
    <row r="39" ht="16.5" customHeight="1" s="141" thickBot="1">
      <c r="A39" s="157" t="n"/>
      <c r="B39" s="20" t="n"/>
      <c r="C39" s="11" t="n"/>
      <c r="D39" s="11" t="n"/>
      <c r="E39" s="162" t="n"/>
      <c r="F39" s="162" t="n"/>
      <c r="G39" s="162" t="n"/>
      <c r="H39" s="11" t="n"/>
      <c r="I39" s="12" t="n"/>
      <c r="Q39" s="25" t="n"/>
    </row>
    <row r="40">
      <c r="A40" s="63" t="inlineStr">
        <is>
          <t>Situation Actuelle</t>
        </is>
      </c>
      <c r="B40" s="69" t="n"/>
      <c r="C40" s="70" t="n"/>
      <c r="D40" s="3" t="n"/>
      <c r="E40" s="3" t="n"/>
      <c r="F40" s="255" t="inlineStr">
        <is>
          <t>Offre Ciments du Maroc</t>
        </is>
      </c>
      <c r="G40" s="288" t="n"/>
      <c r="H40" s="288" t="n"/>
      <c r="I40" s="1" t="n"/>
    </row>
    <row r="41">
      <c r="A41" s="5" t="n"/>
      <c r="B41" s="144" t="n"/>
      <c r="F41" s="253" t="inlineStr">
        <is>
          <t>Salaire de base</t>
        </is>
      </c>
      <c r="G41" s="254" t="n"/>
      <c r="H41" s="197" t="inlineStr">
        <is>
          <t>{salaireBase}</t>
        </is>
      </c>
      <c r="I41" s="204" t="inlineStr">
        <is>
          <t>Dhs brut sur 13,3 mois</t>
        </is>
      </c>
      <c r="J41" s="50" t="n"/>
      <c r="K41" s="105" t="inlineStr">
        <is>
          <t>Salaire annuel brut :</t>
        </is>
      </c>
      <c r="L41" s="105" t="n"/>
      <c r="M41" s="107">
        <f>H41*13.3+(H42+H43+H44)*12+H45</f>
        <v/>
      </c>
      <c r="N41" s="105" t="inlineStr">
        <is>
          <t>Dhs</t>
        </is>
      </c>
      <c r="Q41" s="31" t="inlineStr">
        <is>
          <t>Salaire de base</t>
        </is>
      </c>
      <c r="R41" s="32" t="n"/>
      <c r="S41" s="33">
        <f>H41</f>
        <v/>
      </c>
      <c r="T41" s="34" t="inlineStr">
        <is>
          <t>Dhs brut sur 12 mois</t>
        </is>
      </c>
      <c r="V41" s="254" t="n"/>
    </row>
    <row r="42">
      <c r="A42" s="249" t="inlineStr">
        <is>
          <t xml:space="preserve">Salaire de base: </t>
        </is>
      </c>
      <c r="C42" s="289" t="inlineStr">
        <is>
          <t>{salaireBaseActuel}</t>
        </is>
      </c>
      <c r="F42" s="261" t="inlineStr">
        <is>
          <t>Prime de logement</t>
        </is>
      </c>
      <c r="G42" s="254" t="n"/>
      <c r="H42" s="197" t="inlineStr">
        <is>
          <t>{primeLogement}</t>
        </is>
      </c>
      <c r="I42" s="204" t="inlineStr">
        <is>
          <t>Dhs brut sur 12 mois</t>
        </is>
      </c>
      <c r="J42" s="50" t="n"/>
      <c r="K42" s="106" t="inlineStr">
        <is>
          <t>MBO</t>
        </is>
      </c>
      <c r="L42" s="106" t="n"/>
      <c r="M42" s="108">
        <f>H41</f>
        <v/>
      </c>
      <c r="N42" s="106" t="inlineStr">
        <is>
          <t>Dhs</t>
        </is>
      </c>
      <c r="Q42" s="37" t="inlineStr">
        <is>
          <t>Prime de logement</t>
        </is>
      </c>
      <c r="R42" s="254" t="n"/>
      <c r="S42" s="33">
        <f>H42</f>
        <v/>
      </c>
      <c r="T42" s="34" t="inlineStr">
        <is>
          <t>Dhs brut sur 12 mois</t>
        </is>
      </c>
      <c r="V42" s="254" t="n"/>
    </row>
    <row r="43">
      <c r="A43" s="262" t="inlineStr">
        <is>
          <t>Prime de chantier</t>
        </is>
      </c>
      <c r="C43" s="289" t="inlineStr">
        <is>
          <t>{primeChantierActuel}</t>
        </is>
      </c>
      <c r="F43" s="253" t="inlineStr">
        <is>
          <t>Prime de site</t>
        </is>
      </c>
      <c r="G43" s="254" t="n"/>
      <c r="H43" s="197" t="inlineStr">
        <is>
          <t>{primeSite}</t>
        </is>
      </c>
      <c r="I43" s="204" t="inlineStr">
        <is>
          <t>Dhs brut sur 12 mois</t>
        </is>
      </c>
      <c r="J43" s="50" t="n"/>
      <c r="K43" s="145" t="n"/>
      <c r="L43" s="145" t="n"/>
      <c r="M43" s="50" t="n"/>
      <c r="N43" s="145" t="n"/>
      <c r="Q43" s="37" t="inlineStr">
        <is>
          <t>Prime de site</t>
        </is>
      </c>
      <c r="R43" s="254" t="n"/>
      <c r="S43" s="33">
        <f>H43</f>
        <v/>
      </c>
      <c r="T43" s="34" t="inlineStr">
        <is>
          <t>Dhs brut sur 12 mois</t>
        </is>
      </c>
      <c r="V43" s="254" t="n"/>
    </row>
    <row r="44">
      <c r="A44" s="262" t="inlineStr">
        <is>
          <t>Indemnité de panier</t>
        </is>
      </c>
      <c r="C44" s="289" t="inlineStr">
        <is>
          <t>{indPanierActuel}</t>
        </is>
      </c>
      <c r="F44" s="253" t="inlineStr">
        <is>
          <t xml:space="preserve">Indemnité de transport </t>
        </is>
      </c>
      <c r="G44" s="254" t="n"/>
      <c r="H44" s="197" t="inlineStr">
        <is>
          <t>{indTransport}</t>
        </is>
      </c>
      <c r="I44" s="204" t="inlineStr">
        <is>
          <t>Dhs net sur 12 mois</t>
        </is>
      </c>
      <c r="J44" s="50" t="n"/>
      <c r="K44" s="109" t="inlineStr">
        <is>
          <t>Net mensuel</t>
        </is>
      </c>
      <c r="L44" s="110" t="n"/>
      <c r="M44" s="111">
        <f>'Simulateur Mensuel'!D49</f>
        <v/>
      </c>
      <c r="N44" s="109" t="inlineStr">
        <is>
          <t>Dhs</t>
        </is>
      </c>
      <c r="O44" s="128" t="n"/>
      <c r="Q44" s="37" t="n"/>
      <c r="R44" s="254" t="n"/>
      <c r="S44" s="33" t="n"/>
      <c r="T44" s="34" t="n"/>
      <c r="V44" s="254" t="n"/>
    </row>
    <row r="45">
      <c r="A45" s="262" t="inlineStr">
        <is>
          <t xml:space="preserve">Indemnité de transport </t>
        </is>
      </c>
      <c r="C45" s="289" t="inlineStr">
        <is>
          <t>{indTransportActuel}</t>
        </is>
      </c>
      <c r="F45" s="140" t="inlineStr">
        <is>
          <t>Prime de représentation</t>
        </is>
      </c>
      <c r="G45" s="139" t="n"/>
      <c r="H45" s="197" t="inlineStr">
        <is>
          <t>{primeRepresentation}</t>
        </is>
      </c>
      <c r="I45" s="204" t="inlineStr">
        <is>
          <t>Dhs brut sur 12 mois</t>
        </is>
      </c>
      <c r="J45" s="50" t="n"/>
      <c r="K45" s="112" t="inlineStr">
        <is>
          <t>Net mensuel + IK</t>
        </is>
      </c>
      <c r="L45" s="113" t="n"/>
      <c r="M45" s="114">
        <f>M44+O32</f>
        <v/>
      </c>
      <c r="N45" s="112" t="inlineStr">
        <is>
          <t>Dhs</t>
        </is>
      </c>
      <c r="Q45" s="38" t="n"/>
      <c r="R45" s="139" t="n"/>
      <c r="S45" s="40" t="n"/>
      <c r="T45" s="127" t="n"/>
      <c r="V45" s="139" t="n"/>
    </row>
    <row r="46">
      <c r="A46" s="262" t="inlineStr">
        <is>
          <t>Salaire Net:</t>
        </is>
      </c>
      <c r="C46" s="289" t="inlineStr">
        <is>
          <t>{salaireNetActuel}</t>
        </is>
      </c>
      <c r="F46" s="5" t="n"/>
      <c r="H46" s="142" t="n"/>
      <c r="I46" s="4" t="n"/>
      <c r="J46" s="50" t="n"/>
    </row>
    <row r="47">
      <c r="A47" s="262" t="n"/>
      <c r="C47" s="289" t="n"/>
      <c r="E47" s="252" t="n"/>
      <c r="F47" s="251" t="inlineStr">
        <is>
          <t xml:space="preserve">Salaire net mensuel </t>
        </is>
      </c>
      <c r="H47" s="205">
        <f>M44</f>
        <v/>
      </c>
      <c r="I47" s="4" t="n"/>
      <c r="J47" s="50" t="n"/>
    </row>
    <row r="48">
      <c r="A48" s="262" t="n"/>
      <c r="C48" s="289" t="n"/>
      <c r="E48" s="252" t="n"/>
      <c r="F48" s="251" t="inlineStr">
        <is>
          <t>IK</t>
        </is>
      </c>
      <c r="H48" s="206">
        <f>+O32</f>
        <v/>
      </c>
      <c r="I48" s="4" t="n"/>
      <c r="K48" s="145" t="inlineStr">
        <is>
          <t>Net annuel sur 12 mois</t>
        </is>
      </c>
      <c r="L48" s="48" t="n"/>
      <c r="M48" s="48">
        <f>(M44*12+H41*1.3*0.62)/12</f>
        <v/>
      </c>
      <c r="N48" t="inlineStr">
        <is>
          <t>Dhs</t>
        </is>
      </c>
      <c r="Q48" s="109" t="inlineStr">
        <is>
          <t>Net mensuel</t>
        </is>
      </c>
      <c r="R48" s="110" t="n"/>
      <c r="S48" s="111">
        <f>M44</f>
        <v/>
      </c>
      <c r="T48" s="109" t="inlineStr">
        <is>
          <t>Dhs</t>
        </is>
      </c>
    </row>
    <row r="49">
      <c r="A49" s="5" t="n"/>
      <c r="B49" s="144" t="n"/>
      <c r="E49" s="252" t="n"/>
      <c r="F49" s="251" t="inlineStr">
        <is>
          <t>Salaire net perçu</t>
        </is>
      </c>
      <c r="H49" s="206">
        <f>H47+H48</f>
        <v/>
      </c>
      <c r="I49" s="4" t="n"/>
      <c r="K49" s="145" t="inlineStr">
        <is>
          <t>IK sur 12 mois</t>
        </is>
      </c>
      <c r="L49" s="48" t="n"/>
      <c r="M49" s="48">
        <f>O32*11/12</f>
        <v/>
      </c>
      <c r="N49" t="inlineStr">
        <is>
          <t>Dhs</t>
        </is>
      </c>
    </row>
    <row r="50" ht="13.5" customHeight="1" s="141" thickBot="1">
      <c r="A50" s="157" t="n"/>
      <c r="B50" s="158" t="n"/>
      <c r="C50" s="11" t="n"/>
      <c r="D50" s="11" t="n"/>
      <c r="E50" s="11" t="n"/>
      <c r="F50" s="10" t="n"/>
      <c r="G50" s="11" t="n"/>
      <c r="H50" s="207">
        <f>(H49-C46)/C46</f>
        <v/>
      </c>
      <c r="I50" s="12" t="n"/>
      <c r="K50" s="145" t="inlineStr">
        <is>
          <t>Moyen net sur 12 mois</t>
        </is>
      </c>
      <c r="M50" s="50">
        <f>M48+M49</f>
        <v/>
      </c>
      <c r="N50" s="149" t="inlineStr">
        <is>
          <t>Dhs</t>
        </is>
      </c>
      <c r="Q50" s="112" t="inlineStr">
        <is>
          <t>Indemnités Kil:</t>
        </is>
      </c>
      <c r="R50" s="113" t="n"/>
      <c r="S50" s="114">
        <f>O32</f>
        <v/>
      </c>
      <c r="T50" s="112" t="n"/>
    </row>
    <row r="51">
      <c r="A51" s="244" t="inlineStr">
        <is>
          <t>Comparatif Interne</t>
        </is>
      </c>
      <c r="B51" s="3" t="n"/>
      <c r="C51" s="3" t="n"/>
      <c r="D51" s="186" t="n"/>
      <c r="E51" s="3" t="n"/>
      <c r="F51" s="3" t="n"/>
      <c r="G51" s="3" t="n"/>
      <c r="H51" s="3" t="n"/>
      <c r="I51" s="1" t="n"/>
      <c r="K51" s="145" t="n"/>
      <c r="M51" s="50" t="n"/>
      <c r="N51" s="149" t="n"/>
      <c r="Q51" s="112" t="n"/>
      <c r="R51" s="113" t="n"/>
      <c r="S51" s="114" t="n"/>
      <c r="T51" s="112" t="n"/>
    </row>
    <row r="52">
      <c r="A52" s="154" t="n"/>
      <c r="B52" s="144" t="n"/>
      <c r="E52" s="257" t="n"/>
      <c r="I52" s="4" t="n"/>
      <c r="K52" s="145" t="n"/>
      <c r="M52" s="50" t="n"/>
      <c r="N52" s="149" t="n"/>
      <c r="Q52" s="132" t="inlineStr">
        <is>
          <t>Bonus (MBO)</t>
        </is>
      </c>
      <c r="R52" s="113" t="n"/>
      <c r="S52" s="114">
        <f>H41</f>
        <v/>
      </c>
      <c r="T52" s="112" t="inlineStr">
        <is>
          <t>Dhs bruts pour 100%</t>
        </is>
      </c>
    </row>
    <row r="53" ht="13.5" customHeight="1" s="141" thickBot="1">
      <c r="A53" s="154" t="n"/>
      <c r="B53" s="144" t="n"/>
      <c r="E53" s="257" t="n"/>
      <c r="I53" s="4" t="n"/>
      <c r="K53" s="145" t="n"/>
      <c r="M53" s="50" t="n"/>
      <c r="N53" s="149" t="n"/>
      <c r="Q53" s="132" t="n"/>
      <c r="R53" s="113" t="n"/>
      <c r="S53" s="114" t="n"/>
      <c r="T53" s="112" t="n"/>
    </row>
    <row r="54" ht="27" customHeight="1" s="141">
      <c r="A54" s="198" t="inlineStr">
        <is>
          <t xml:space="preserve">Nom et prénom </t>
        </is>
      </c>
      <c r="B54" s="199" t="inlineStr">
        <is>
          <t>Intitulé du poste</t>
        </is>
      </c>
      <c r="C54" s="200" t="inlineStr">
        <is>
          <t>Site d'affe-
ctation</t>
        </is>
      </c>
      <c r="D54" s="199" t="inlineStr">
        <is>
          <t>Salaire Brut</t>
        </is>
      </c>
      <c r="E54" s="200" t="inlineStr">
        <is>
          <t xml:space="preserve">Prime de 
logement </t>
        </is>
      </c>
      <c r="F54" s="199" t="inlineStr">
        <is>
          <t>Prime de site</t>
        </is>
      </c>
      <c r="G54" s="200" t="inlineStr">
        <is>
          <t>Prime de 
représentation</t>
        </is>
      </c>
      <c r="H54" s="200" t="inlineStr">
        <is>
          <t>Ancienneté
 CIMAR</t>
        </is>
      </c>
      <c r="I54" s="201" t="inlineStr">
        <is>
          <t>Nombre d'expérience
 avant intégration CIMAR</t>
        </is>
      </c>
      <c r="K54" s="145" t="n"/>
      <c r="M54" s="50" t="n"/>
      <c r="N54" s="149" t="n"/>
      <c r="Q54" t="inlineStr">
        <is>
          <t>CIMR</t>
        </is>
      </c>
      <c r="T54" s="133" t="inlineStr">
        <is>
          <t>{tauxCIMR}</t>
        </is>
      </c>
    </row>
    <row r="55">
      <c r="A55" s="210" t="n"/>
      <c r="B55" s="163" t="n"/>
      <c r="C55" s="163" t="n"/>
      <c r="D55" s="290" t="n"/>
      <c r="E55" s="290" t="n"/>
      <c r="F55" s="290" t="n"/>
      <c r="G55" s="166" t="n"/>
      <c r="H55" s="208" t="n"/>
      <c r="I55" s="209" t="n"/>
      <c r="K55" s="145" t="n"/>
      <c r="M55" s="50" t="n"/>
      <c r="N55" s="149" t="n"/>
      <c r="Q55" t="inlineStr">
        <is>
          <t>Mutuelle maladie WafaAssurances</t>
        </is>
      </c>
      <c r="T55" s="133" t="inlineStr">
        <is>
          <t>{mutuellePercent}</t>
        </is>
      </c>
    </row>
    <row r="56">
      <c r="A56" s="211" t="n"/>
      <c r="B56" s="212" t="n"/>
      <c r="C56" s="212" t="n"/>
      <c r="D56" s="291" t="n"/>
      <c r="E56" s="291" t="n"/>
      <c r="F56" s="291" t="n"/>
      <c r="G56" s="183" t="n"/>
      <c r="H56" s="183" t="n"/>
      <c r="I56" s="184" t="n"/>
      <c r="K56" s="145" t="n"/>
      <c r="M56" s="50" t="n"/>
      <c r="N56" s="149" t="n"/>
      <c r="Q56" t="inlineStr">
        <is>
          <t>Prime de l'aïd</t>
        </is>
      </c>
      <c r="T56" t="inlineStr">
        <is>
          <t>{primeAid}</t>
        </is>
      </c>
      <c r="U56" t="inlineStr">
        <is>
          <t>Dhs bruts</t>
        </is>
      </c>
    </row>
    <row r="57">
      <c r="A57" s="211" t="n"/>
      <c r="B57" s="212" t="n"/>
      <c r="C57" s="212" t="n"/>
      <c r="D57" s="291" t="n"/>
      <c r="E57" s="291" t="n"/>
      <c r="F57" s="291" t="n"/>
      <c r="G57" s="183" t="n"/>
      <c r="H57" s="164" t="n"/>
      <c r="I57" s="184" t="n"/>
      <c r="K57" s="145" t="n"/>
      <c r="M57" s="50" t="n"/>
      <c r="N57" s="149" t="n"/>
      <c r="Q57" t="inlineStr">
        <is>
          <t xml:space="preserve">Avance aid </t>
        </is>
      </c>
      <c r="T57" t="inlineStr">
        <is>
          <t>{avanceAid}</t>
        </is>
      </c>
      <c r="U57" t="inlineStr">
        <is>
          <t>Dhs nets sur 10 mois</t>
        </is>
      </c>
    </row>
    <row r="58" ht="13.5" customHeight="1" s="141">
      <c r="A58" s="215" t="n"/>
      <c r="B58" s="212" t="n"/>
      <c r="C58" s="216" t="n"/>
      <c r="D58" s="292" t="n"/>
      <c r="E58" s="292" t="n"/>
      <c r="F58" s="292" t="n"/>
      <c r="G58" s="214" t="n"/>
      <c r="H58" s="219" t="n"/>
      <c r="I58" s="218" t="n"/>
      <c r="Q58" t="inlineStr">
        <is>
          <t>Avance sociale</t>
        </is>
      </c>
      <c r="T58" t="inlineStr">
        <is>
          <t>{avanceSociale}</t>
        </is>
      </c>
      <c r="U58" t="inlineStr">
        <is>
          <t>Dhs nets sur 12 mois</t>
        </is>
      </c>
    </row>
    <row r="59" ht="13.5" customHeight="1" s="141" thickBot="1">
      <c r="A59" s="221" t="n"/>
      <c r="B59" s="222" t="n"/>
      <c r="C59" s="222" t="n"/>
      <c r="D59" s="293" t="n"/>
      <c r="E59" s="293" t="n"/>
      <c r="F59" s="293" t="n"/>
      <c r="G59" s="220" t="n"/>
      <c r="H59" s="202" t="n"/>
      <c r="I59" s="203" t="n"/>
    </row>
    <row r="60">
      <c r="A60" s="191" t="n"/>
      <c r="B60" s="168" t="n"/>
      <c r="C60" s="168" t="n"/>
      <c r="D60" s="294" t="n"/>
      <c r="E60" s="294" t="n"/>
      <c r="F60" s="294" t="n"/>
      <c r="G60" s="170" t="n"/>
      <c r="H60" s="171" t="n"/>
      <c r="I60" s="192" t="n"/>
    </row>
    <row r="61" ht="13.5" customHeight="1" s="141" thickBot="1">
      <c r="A61" s="191" t="n"/>
      <c r="B61" s="168" t="n"/>
      <c r="C61" s="168" t="n"/>
      <c r="D61" s="294" t="n"/>
      <c r="E61" s="294" t="n"/>
      <c r="F61" s="294" t="n"/>
      <c r="G61" s="170" t="n"/>
      <c r="H61" s="171" t="n"/>
      <c r="I61" s="192" t="n"/>
    </row>
    <row r="62">
      <c r="A62" s="178" t="n"/>
      <c r="B62" s="295" t="inlineStr">
        <is>
          <t xml:space="preserve">Pour toute information complémentaire: voir le CV </t>
        </is>
      </c>
      <c r="C62" s="3" t="n"/>
      <c r="D62" s="3" t="n"/>
      <c r="E62" s="3" t="n"/>
      <c r="F62" s="3" t="n"/>
      <c r="G62" s="3" t="n"/>
      <c r="H62" s="179" t="n"/>
      <c r="I62" s="180" t="n"/>
    </row>
    <row r="63" ht="13.5" customHeight="1" s="141" thickBot="1">
      <c r="A63" s="176" t="n"/>
      <c r="B63" s="11" t="n"/>
      <c r="C63" s="11" t="n"/>
      <c r="D63" s="11" t="n"/>
      <c r="E63" s="11" t="n"/>
      <c r="F63" s="11" t="n"/>
      <c r="G63" s="11" t="n"/>
      <c r="H63" s="181" t="n"/>
      <c r="I63" s="177" t="n"/>
    </row>
    <row r="64">
      <c r="A64" s="167" t="n"/>
      <c r="B64" s="168" t="n"/>
      <c r="C64" s="168" t="n"/>
      <c r="D64" s="296" t="n"/>
      <c r="E64" s="296" t="n"/>
      <c r="F64" s="296" t="n"/>
      <c r="G64" s="170" t="n"/>
      <c r="H64" s="174" t="n"/>
      <c r="I64" s="172" t="n"/>
    </row>
    <row r="65">
      <c r="A65" s="175" t="inlineStr">
        <is>
          <t>Préparé par :</t>
        </is>
      </c>
      <c r="B65" s="144" t="inlineStr">
        <is>
          <t>{signerFullName}</t>
        </is>
      </c>
      <c r="C65" s="145" t="n"/>
      <c r="D65" s="145" t="n"/>
      <c r="E65" s="145" t="n"/>
    </row>
    <row r="66">
      <c r="A66" t="inlineStr">
        <is>
          <t>Fonction :</t>
        </is>
      </c>
      <c r="B66" s="144" t="inlineStr">
        <is>
          <t>{signerTitle}</t>
        </is>
      </c>
      <c r="C66" s="145" t="n"/>
      <c r="D66" s="145" t="n"/>
      <c r="E66" s="145" t="n"/>
    </row>
    <row r="67">
      <c r="A67" t="inlineStr">
        <is>
          <t>Date :</t>
        </is>
      </c>
      <c r="B67" s="144" t="inlineStr">
        <is>
          <t>{signerDate}</t>
        </is>
      </c>
      <c r="C67" s="145" t="n"/>
    </row>
    <row r="68">
      <c r="A68" s="155" t="inlineStr">
        <is>
          <t>Signature :</t>
        </is>
      </c>
      <c r="B68" s="155" t="inlineStr">
        <is>
          <t>{signaturePlaceholder}</t>
        </is>
      </c>
    </row>
    <row r="69">
      <c r="A69" s="155" t="n"/>
      <c r="B69" s="155" t="n"/>
    </row>
    <row r="70">
      <c r="A70" s="155" t="n"/>
      <c r="B70" s="155" t="n"/>
    </row>
    <row r="71">
      <c r="A71" s="155" t="n"/>
      <c r="B71" s="155" t="n"/>
    </row>
    <row r="72">
      <c r="A72" s="155" t="n"/>
      <c r="B72" s="155" t="n"/>
    </row>
    <row r="73">
      <c r="A73" s="155" t="n"/>
      <c r="B73" s="155" t="n"/>
    </row>
    <row r="74">
      <c r="A74" s="155" t="n"/>
      <c r="B74" s="155" t="n"/>
    </row>
    <row r="75">
      <c r="A75" s="155" t="n"/>
      <c r="B75" s="155" t="n"/>
    </row>
  </sheetData>
  <mergeCells count="37">
    <mergeCell ref="A48:B48"/>
    <mergeCell ref="A25:C25"/>
    <mergeCell ref="C8:F8"/>
    <mergeCell ref="E33:F33"/>
    <mergeCell ref="C42:D42"/>
    <mergeCell ref="A45:B45"/>
    <mergeCell ref="C7:F7"/>
    <mergeCell ref="C45:D45"/>
    <mergeCell ref="D22:H24"/>
    <mergeCell ref="E35:F35"/>
    <mergeCell ref="A16:B16"/>
    <mergeCell ref="E36:G36"/>
    <mergeCell ref="C47:D47"/>
    <mergeCell ref="A7:B7"/>
    <mergeCell ref="B62:G63"/>
    <mergeCell ref="A22:C22"/>
    <mergeCell ref="A46:B46"/>
    <mergeCell ref="C44:D44"/>
    <mergeCell ref="F42:G42"/>
    <mergeCell ref="B2:I6"/>
    <mergeCell ref="F41:G41"/>
    <mergeCell ref="E34:F34"/>
    <mergeCell ref="C43:D43"/>
    <mergeCell ref="C46:D46"/>
    <mergeCell ref="E37:G37"/>
    <mergeCell ref="A47:B47"/>
    <mergeCell ref="A42:B42"/>
    <mergeCell ref="C48:D48"/>
    <mergeCell ref="A8:B8"/>
    <mergeCell ref="A51:C51"/>
    <mergeCell ref="A20:B20"/>
    <mergeCell ref="A43:B43"/>
    <mergeCell ref="G8:I8"/>
    <mergeCell ref="F40:H40"/>
    <mergeCell ref="A13:B13"/>
    <mergeCell ref="A44:B44"/>
    <mergeCell ref="E38:G38"/>
  </mergeCells>
  <printOptions horizontalCentered="1"/>
  <pageMargins left="0.4724409448818898" right="0.3937007874015748" top="0.6299212598425197" bottom="0.984251968503937" header="0.5118110236220472" footer="0.5118110236220472"/>
  <pageSetup orientation="portrait" paperSize="9" scale="8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F52"/>
  <sheetViews>
    <sheetView showGridLines="0" topLeftCell="A23" workbookViewId="0">
      <selection activeCell="F26" sqref="F26"/>
    </sheetView>
  </sheetViews>
  <sheetFormatPr baseColWidth="10" defaultRowHeight="12.75"/>
  <cols>
    <col width="27.140625" customWidth="1" style="141" min="2" max="2"/>
    <col width="16" customWidth="1" style="141" min="3" max="3"/>
    <col width="23.5703125" customWidth="1" style="141" min="4" max="4"/>
  </cols>
  <sheetData>
    <row r="3" ht="13.5" customHeight="1" s="141" thickBot="1"/>
    <row r="4" ht="13.5" customHeight="1" s="141" thickTop="1">
      <c r="B4" s="72" t="n"/>
      <c r="C4" s="73" t="n"/>
      <c r="D4" s="73" t="n"/>
    </row>
    <row r="5" ht="13.5" customHeight="1" s="141" thickBot="1">
      <c r="B5" s="74" t="n"/>
      <c r="C5" s="75" t="n"/>
      <c r="D5" s="75" t="n"/>
    </row>
    <row r="6" ht="16.5" customHeight="1" s="141" thickBot="1">
      <c r="B6" s="297" t="inlineStr">
        <is>
          <t>Barèmre IGR 2010</t>
        </is>
      </c>
      <c r="C6" s="298" t="n"/>
      <c r="D6" s="284" t="n"/>
    </row>
    <row r="7" ht="13.5" customHeight="1" s="141" thickBot="1">
      <c r="B7" s="76" t="inlineStr">
        <is>
          <t>Tranche</t>
        </is>
      </c>
      <c r="C7" s="77" t="inlineStr">
        <is>
          <t>Taux</t>
        </is>
      </c>
      <c r="D7" s="78" t="inlineStr">
        <is>
          <t>Somme à déduire</t>
        </is>
      </c>
    </row>
    <row r="8">
      <c r="B8" s="79" t="inlineStr">
        <is>
          <t>[0-3333]</t>
        </is>
      </c>
      <c r="C8" s="80" t="n">
        <v>0</v>
      </c>
      <c r="D8" s="81" t="n">
        <v>0</v>
      </c>
    </row>
    <row r="9">
      <c r="B9" s="82" t="inlineStr">
        <is>
          <t>[3334-5000]</t>
        </is>
      </c>
      <c r="C9" s="83" t="n">
        <v>0.1</v>
      </c>
      <c r="D9" s="84" t="n">
        <v>333.33</v>
      </c>
    </row>
    <row r="10">
      <c r="B10" s="82" t="inlineStr">
        <is>
          <t>[5001-6667]</t>
        </is>
      </c>
      <c r="C10" s="83" t="n">
        <v>0.2</v>
      </c>
      <c r="D10" s="84" t="n">
        <v>833.33</v>
      </c>
    </row>
    <row r="11">
      <c r="B11" s="82" t="inlineStr">
        <is>
          <t>[6668-8333]</t>
        </is>
      </c>
      <c r="C11" s="83" t="n">
        <v>0.3</v>
      </c>
      <c r="D11" s="134" t="n">
        <v>1500</v>
      </c>
    </row>
    <row r="12">
      <c r="B12" s="82" t="inlineStr">
        <is>
          <t>[8334-15000]</t>
        </is>
      </c>
      <c r="C12" s="85" t="n">
        <v>0.34</v>
      </c>
      <c r="D12" s="86" t="n">
        <v>1833.33</v>
      </c>
    </row>
    <row r="13" ht="13.5" customHeight="1" s="141" thickBot="1">
      <c r="B13" s="87" t="inlineStr">
        <is>
          <t>15001 et plus</t>
        </is>
      </c>
      <c r="C13" s="88" t="n">
        <v>0.37</v>
      </c>
      <c r="D13" s="89" t="n">
        <v>2283.33</v>
      </c>
    </row>
    <row r="14" ht="13.5" customHeight="1" s="141" thickBot="1">
      <c r="B14" s="74" t="n"/>
      <c r="C14" s="75" t="n"/>
      <c r="D14" s="75" t="n"/>
    </row>
    <row r="15" ht="16.5" customHeight="1" s="141" thickBot="1">
      <c r="B15" s="297" t="inlineStr">
        <is>
          <t>Taux appliqués</t>
        </is>
      </c>
      <c r="C15" s="298" t="n"/>
      <c r="D15" s="284" t="n"/>
    </row>
    <row r="16" ht="13.5" customHeight="1" s="141" thickBot="1">
      <c r="B16" s="90" t="inlineStr">
        <is>
          <t>Rubriques</t>
        </is>
      </c>
      <c r="C16" s="91" t="inlineStr">
        <is>
          <t>Taux</t>
        </is>
      </c>
      <c r="D16" s="92" t="inlineStr">
        <is>
          <t>Plafond</t>
        </is>
      </c>
    </row>
    <row r="17">
      <c r="B17" s="93" t="inlineStr">
        <is>
          <t>Frais professionnels</t>
        </is>
      </c>
      <c r="C17" s="94">
        <f>IF(E34&lt;=6500,35%,25%)</f>
        <v/>
      </c>
      <c r="D17" s="299">
        <f>35000/12</f>
        <v/>
      </c>
    </row>
    <row r="18">
      <c r="B18" s="95" t="inlineStr">
        <is>
          <t>CNSS</t>
        </is>
      </c>
      <c r="C18" s="96">
        <f>4.29%+0.19%</f>
        <v/>
      </c>
      <c r="D18" s="97" t="n">
        <v>6000</v>
      </c>
    </row>
    <row r="19" ht="25.5" customHeight="1" s="141">
      <c r="B19" s="98" t="inlineStr">
        <is>
          <t>CIMR
(3%,3,75%,4,5%,5,25% ou 6%)</t>
        </is>
      </c>
      <c r="C19" s="99" t="inlineStr">
        <is>
          <t>{tauxCIMRDecimal}</t>
        </is>
      </c>
      <c r="D19" s="100" t="n">
        <v>2000000</v>
      </c>
    </row>
    <row r="20">
      <c r="B20" s="101" t="inlineStr">
        <is>
          <t>Retraite Complémentaire</t>
        </is>
      </c>
      <c r="C20" s="99" t="n">
        <v>0</v>
      </c>
      <c r="D20" s="100" t="inlineStr">
        <is>
          <t>N/A</t>
        </is>
      </c>
    </row>
    <row r="21">
      <c r="B21" s="101" t="inlineStr">
        <is>
          <t>Retraite 55 ans</t>
        </is>
      </c>
      <c r="C21" s="99" t="n">
        <v>0</v>
      </c>
      <c r="D21" s="100" t="n"/>
    </row>
    <row r="22">
      <c r="B22" s="101" t="inlineStr">
        <is>
          <t>Mutuelle</t>
        </is>
      </c>
      <c r="C22" s="99" t="n">
        <v>0.0341</v>
      </c>
      <c r="D22" s="100" t="inlineStr">
        <is>
          <t>N/A</t>
        </is>
      </c>
    </row>
    <row r="23" ht="13.5" customHeight="1" s="141" thickBot="1">
      <c r="B23" s="102" t="inlineStr">
        <is>
          <t>Charges familliales</t>
        </is>
      </c>
      <c r="C23" s="300" t="n">
        <v>41.66</v>
      </c>
      <c r="D23" s="103" t="n">
        <v>3</v>
      </c>
    </row>
    <row r="25" ht="13.5" customHeight="1" s="141" thickBot="1"/>
    <row r="26" ht="17.25" customHeight="1" s="141" thickBot="1" thickTop="1">
      <c r="B26" s="301" t="inlineStr">
        <is>
          <t>Nombre de personnes à charge</t>
        </is>
      </c>
      <c r="C26" s="302" t="n"/>
      <c r="D26" s="303" t="n"/>
      <c r="E26" s="136" t="inlineStr">
        <is>
          <t>{nbPersonnesCharge}</t>
        </is>
      </c>
    </row>
    <row r="27" ht="17.25" customHeight="1" s="141" thickBot="1" thickTop="1">
      <c r="B27" s="301" t="inlineStr">
        <is>
          <t>Salaire brut de base</t>
        </is>
      </c>
      <c r="C27" s="302" t="n"/>
      <c r="D27" s="303" t="n"/>
      <c r="E27" s="44">
        <f>+'Fiche d''embauche (2)'!H41</f>
        <v/>
      </c>
    </row>
    <row r="28" ht="17.25" customHeight="1" s="141" thickBot="1" thickTop="1">
      <c r="B28" s="301" t="inlineStr">
        <is>
          <t>Taux Ancienneté</t>
        </is>
      </c>
      <c r="C28" s="302" t="n"/>
      <c r="D28" s="303" t="n"/>
      <c r="E28" s="45" t="inlineStr">
        <is>
          <t>{tauxAnciennete}</t>
        </is>
      </c>
    </row>
    <row r="29" ht="17.25" customHeight="1" s="141" thickBot="1" thickTop="1">
      <c r="B29" s="301" t="inlineStr">
        <is>
          <t>Prime de représentation</t>
        </is>
      </c>
      <c r="C29" s="302" t="n"/>
      <c r="D29" s="303" t="n"/>
      <c r="E29" s="47">
        <f>'Fiche d''embauche (2)'!H45</f>
        <v/>
      </c>
    </row>
    <row r="30" ht="17.25" customHeight="1" s="141" thickBot="1" thickTop="1">
      <c r="B30" s="301" t="inlineStr">
        <is>
          <t>Indemnite  imposable</t>
        </is>
      </c>
      <c r="C30" s="302" t="n"/>
      <c r="D30" s="303" t="n"/>
      <c r="E30" s="47">
        <f>+'Fiche d''embauche (2)'!H42+'Fiche d''embauche (2)'!H43</f>
        <v/>
      </c>
    </row>
    <row r="31" ht="17.25" customHeight="1" s="141" thickBot="1" thickTop="1">
      <c r="B31" s="301" t="inlineStr">
        <is>
          <t>Rma</t>
        </is>
      </c>
      <c r="C31" s="302" t="n"/>
      <c r="D31" s="303" t="n"/>
      <c r="E31" s="47" t="inlineStr">
        <is>
          <t>{rma}</t>
        </is>
      </c>
    </row>
    <row r="32" ht="17.25" customHeight="1" s="141" thickBot="1" thickTop="1">
      <c r="B32" s="301" t="inlineStr">
        <is>
          <t>Salaire brut imposable</t>
        </is>
      </c>
      <c r="C32" s="302" t="n"/>
      <c r="D32" s="303" t="n"/>
      <c r="E32" s="47">
        <f>E27+E29+E30</f>
        <v/>
      </c>
    </row>
    <row r="33" ht="17.25" customHeight="1" s="141" thickBot="1" thickTop="1">
      <c r="B33" s="301" t="inlineStr">
        <is>
          <t xml:space="preserve">Indem Transport </t>
        </is>
      </c>
      <c r="C33" s="302" t="n"/>
      <c r="D33" s="303" t="n"/>
      <c r="E33" s="47">
        <f>+'Fiche d''embauche (2)'!H44</f>
        <v/>
      </c>
    </row>
    <row r="34" ht="17.25" customHeight="1" s="141" thickBot="1" thickTop="1">
      <c r="B34" s="301" t="inlineStr">
        <is>
          <t>Revenu brut global</t>
        </is>
      </c>
      <c r="C34" s="302" t="n"/>
      <c r="D34" s="303" t="n"/>
      <c r="E34" s="46">
        <f>E27+E29+E30</f>
        <v/>
      </c>
    </row>
    <row r="35" ht="17.25" customHeight="1" s="141" thickBot="1" thickTop="1">
      <c r="B35" s="301" t="inlineStr">
        <is>
          <t>Interets prêt immobilier</t>
        </is>
      </c>
      <c r="C35" s="302" t="n"/>
      <c r="D35" s="303" t="n"/>
      <c r="E35" s="46" t="inlineStr">
        <is>
          <t>{interetsPretImmobilier}</t>
        </is>
      </c>
    </row>
    <row r="36" ht="17.25" customHeight="1" s="141" thickBot="1" thickTop="1">
      <c r="B36" s="301" t="inlineStr">
        <is>
          <t>Montant du revenu brut imposable</t>
        </is>
      </c>
      <c r="C36" s="302" t="n"/>
      <c r="D36" s="303" t="n"/>
      <c r="E36" s="46">
        <f>+E27+E29+E30+E31</f>
        <v/>
      </c>
    </row>
    <row r="37" ht="14.25" customHeight="1" s="141" thickBot="1" thickTop="1"/>
    <row r="38" ht="13.5" customHeight="1" s="141" thickBot="1">
      <c r="B38" s="304" t="inlineStr">
        <is>
          <t>Frais professionnels</t>
        </is>
      </c>
      <c r="C38" s="305" t="n"/>
      <c r="D38" s="306">
        <f>IF((E36*C17)&lt;=D17,(E36*C17),D17)</f>
        <v/>
      </c>
      <c r="E38" s="305" t="n"/>
    </row>
    <row r="39" ht="13.5" customHeight="1" s="141" thickBot="1">
      <c r="B39" s="304" t="inlineStr">
        <is>
          <t>CNSS</t>
        </is>
      </c>
      <c r="C39" s="305" t="n"/>
      <c r="D39" s="307">
        <f>IF((E36&lt;=D18),(E36*C18),(D18*C18))</f>
        <v/>
      </c>
      <c r="E39" s="305" t="n"/>
    </row>
    <row r="40" ht="13.5" customHeight="1" s="141" thickBot="1">
      <c r="B40" s="304" t="inlineStr">
        <is>
          <t>CIMR</t>
        </is>
      </c>
      <c r="C40" s="305" t="n"/>
      <c r="D40" s="306">
        <f>IF((E36&lt;=D19),(E36*C19),(D19*C19))</f>
        <v/>
      </c>
      <c r="E40" s="305" t="n"/>
    </row>
    <row r="41" ht="13.5" customHeight="1" s="141" thickBot="1">
      <c r="B41" s="304" t="inlineStr">
        <is>
          <t>Retraite Complémentaire</t>
        </is>
      </c>
      <c r="C41" s="305" t="n"/>
      <c r="D41" s="306" t="n">
        <v>0</v>
      </c>
      <c r="E41" s="305" t="n"/>
    </row>
    <row r="42" ht="13.5" customHeight="1" s="141" thickBot="1">
      <c r="B42" s="304" t="inlineStr">
        <is>
          <t>Retraite 55 ans</t>
        </is>
      </c>
      <c r="C42" s="305" t="n"/>
      <c r="D42" s="307" t="n">
        <v>0</v>
      </c>
      <c r="E42" s="305" t="n"/>
    </row>
    <row r="43" ht="13.5" customHeight="1" s="141" thickBot="1">
      <c r="B43" s="304" t="inlineStr">
        <is>
          <t>Mutuelle</t>
        </is>
      </c>
      <c r="C43" s="305" t="n"/>
      <c r="D43" s="306">
        <f>E36*C22</f>
        <v/>
      </c>
      <c r="E43" s="305" t="n"/>
    </row>
    <row r="44" ht="13.5" customHeight="1" s="141" thickBot="1">
      <c r="B44" s="304" t="inlineStr">
        <is>
          <t>Salaire Brut Imposable</t>
        </is>
      </c>
      <c r="C44" s="305" t="n"/>
      <c r="D44" s="308">
        <f>E36-D38-D39-D40-D41-D42-D43-E35</f>
        <v/>
      </c>
      <c r="E44" s="305" t="n"/>
    </row>
    <row r="45" ht="13.5" customHeight="1" s="141" thickBot="1">
      <c r="B45" s="304" t="inlineStr">
        <is>
          <t>IGR Brut</t>
        </is>
      </c>
      <c r="C45" s="305" t="n"/>
      <c r="D45" s="306">
        <f>IF(D44&lt;=3333.33,(D44*C8)-D8,IF(D44&lt;=5000,(D44*C9)-D9,IF(D44&lt;=6667,(D44*C10)-D10,IF(D44&lt;=8333.33,(D44*C11)-D11,IF(D44&lt;=15000,(D44*C12)-D12,IF(D44&gt;=15001,(D44*C13)-D13))))))</f>
        <v/>
      </c>
      <c r="E45" s="305" t="n"/>
    </row>
    <row r="46" ht="13.5" customHeight="1" s="141" thickBot="1">
      <c r="B46" s="304" t="inlineStr">
        <is>
          <t>Charges familliales</t>
        </is>
      </c>
      <c r="C46" s="305" t="n"/>
      <c r="D46" s="307">
        <f>IF((E26)&lt;=6,(E26*C23),(D23))</f>
        <v/>
      </c>
      <c r="E46" s="305" t="n"/>
    </row>
    <row r="47" ht="13.5" customHeight="1" s="141" thickBot="1">
      <c r="B47" s="304" t="inlineStr">
        <is>
          <t>CSS</t>
        </is>
      </c>
      <c r="C47" s="305" t="n"/>
      <c r="D47" s="306" t="n">
        <v>0</v>
      </c>
      <c r="E47" s="305" t="n"/>
    </row>
    <row r="48" ht="13.5" customHeight="1" s="141" thickBot="1">
      <c r="B48" s="304" t="inlineStr">
        <is>
          <t>IGR NET</t>
        </is>
      </c>
      <c r="C48" s="305" t="n"/>
      <c r="D48" s="306">
        <f>+D45-D46</f>
        <v/>
      </c>
      <c r="E48" s="305" t="n"/>
    </row>
    <row r="49" ht="16.5" customHeight="1" s="141" thickBot="1">
      <c r="B49" s="304" t="inlineStr">
        <is>
          <t>Net à payer</t>
        </is>
      </c>
      <c r="C49" s="305" t="n"/>
      <c r="D49" s="309">
        <f>E27+E29+E30-D39-D40-D43-D48+E33</f>
        <v/>
      </c>
      <c r="E49" s="305" t="n"/>
      <c r="F49" s="138" t="n"/>
    </row>
    <row r="50" ht="13.5" customHeight="1" s="141" thickBot="1">
      <c r="B50" s="304" t="inlineStr">
        <is>
          <t>Autre prélevement</t>
        </is>
      </c>
      <c r="C50" s="305" t="n"/>
      <c r="D50" s="307" t="n"/>
      <c r="E50" s="305" t="n"/>
    </row>
    <row r="51" ht="13.5" customHeight="1" s="141" thickBot="1">
      <c r="B51" s="304" t="inlineStr">
        <is>
          <t>MENSUALITE CREDIT</t>
        </is>
      </c>
      <c r="C51" s="305" t="n"/>
      <c r="D51" s="307" t="n"/>
      <c r="E51" s="305" t="n"/>
    </row>
    <row r="52" ht="13.5" customHeight="1" s="141" thickBot="1">
      <c r="B52" s="304" t="inlineStr">
        <is>
          <t>NET RECU</t>
        </is>
      </c>
      <c r="C52" s="305" t="n"/>
      <c r="D52" s="307" t="n"/>
      <c r="E52" s="305" t="n"/>
    </row>
  </sheetData>
  <mergeCells count="43">
    <mergeCell ref="B47:C47"/>
    <mergeCell ref="B46:C46"/>
    <mergeCell ref="D46:E46"/>
    <mergeCell ref="D40:E40"/>
    <mergeCell ref="B29:D29"/>
    <mergeCell ref="D45:E45"/>
    <mergeCell ref="B34:D34"/>
    <mergeCell ref="B43:C43"/>
    <mergeCell ref="B39:C39"/>
    <mergeCell ref="B28:D28"/>
    <mergeCell ref="B52:C52"/>
    <mergeCell ref="B48:C48"/>
    <mergeCell ref="D52:E52"/>
    <mergeCell ref="D49:E49"/>
    <mergeCell ref="B42:C42"/>
    <mergeCell ref="B30:D30"/>
    <mergeCell ref="D41:E41"/>
    <mergeCell ref="B15:D15"/>
    <mergeCell ref="D48:E48"/>
    <mergeCell ref="B6:D6"/>
    <mergeCell ref="B33:D33"/>
    <mergeCell ref="D47:E47"/>
    <mergeCell ref="B38:C38"/>
    <mergeCell ref="B44:C44"/>
    <mergeCell ref="B36:D36"/>
    <mergeCell ref="D43:E43"/>
    <mergeCell ref="B41:C41"/>
    <mergeCell ref="B35:D35"/>
    <mergeCell ref="B32:D32"/>
    <mergeCell ref="B26:D26"/>
    <mergeCell ref="B40:C40"/>
    <mergeCell ref="B49:C49"/>
    <mergeCell ref="D39:E39"/>
    <mergeCell ref="D42:E42"/>
    <mergeCell ref="B31:D31"/>
    <mergeCell ref="B51:C51"/>
    <mergeCell ref="D51:E51"/>
    <mergeCell ref="B45:C45"/>
    <mergeCell ref="D38:E38"/>
    <mergeCell ref="B27:D27"/>
    <mergeCell ref="B50:C50"/>
    <mergeCell ref="D50:E50"/>
    <mergeCell ref="D44:E4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K63"/>
  <sheetViews>
    <sheetView workbookViewId="0">
      <selection activeCell="G9" sqref="G9"/>
    </sheetView>
  </sheetViews>
  <sheetFormatPr baseColWidth="10" defaultColWidth="11.42578125" defaultRowHeight="12.75"/>
  <cols>
    <col width="14.140625" customWidth="1" style="141" min="8" max="8"/>
    <col width="12.140625" customWidth="1" style="141" min="11" max="11"/>
  </cols>
  <sheetData>
    <row r="2" ht="13.5" customHeight="1" s="141" thickBot="1"/>
    <row r="3" ht="13.5" customHeight="1" s="141" thickBot="1">
      <c r="A3" s="57" t="n"/>
      <c r="B3" s="1" t="n"/>
      <c r="C3" s="2" t="n"/>
      <c r="D3" s="3" t="n"/>
      <c r="E3" s="3" t="n"/>
      <c r="F3" s="3" t="n"/>
      <c r="G3" s="3" t="n"/>
      <c r="H3" s="1" t="n"/>
      <c r="I3" s="2" t="n"/>
      <c r="J3" s="3" t="n"/>
      <c r="K3" s="1" t="n"/>
    </row>
    <row r="4" ht="16.5" customHeight="1" s="141" thickBot="1">
      <c r="A4" s="58" t="n"/>
      <c r="B4" s="4" t="n"/>
      <c r="C4" s="5" t="n"/>
      <c r="E4" s="6" t="inlineStr">
        <is>
          <t>VALIDATION EMBAUCHE</t>
        </is>
      </c>
      <c r="H4" s="4" t="n"/>
      <c r="I4" s="5" t="n"/>
      <c r="J4" s="24" t="inlineStr">
        <is>
          <t>X</t>
        </is>
      </c>
      <c r="K4" s="4" t="inlineStr">
        <is>
          <t>CADRE</t>
        </is>
      </c>
    </row>
    <row r="5" ht="13.5" customHeight="1" s="141" thickBot="1">
      <c r="A5" s="59" t="inlineStr">
        <is>
          <t>DATE :</t>
        </is>
      </c>
      <c r="B5" s="7">
        <f>TODAY()</f>
        <v/>
      </c>
      <c r="C5" s="5" t="n"/>
      <c r="I5" s="5" t="n"/>
      <c r="K5" s="4" t="n"/>
    </row>
    <row r="6" ht="13.5" customHeight="1" s="141" thickBot="1">
      <c r="A6" s="59" t="n"/>
      <c r="B6" s="7" t="n"/>
      <c r="C6" s="5" t="n"/>
      <c r="D6" s="24" t="n"/>
      <c r="E6" s="104" t="inlineStr">
        <is>
          <t>Création</t>
        </is>
      </c>
      <c r="G6" s="24" t="inlineStr">
        <is>
          <t>x</t>
        </is>
      </c>
      <c r="H6" s="71" t="inlineStr">
        <is>
          <t>remplacement</t>
        </is>
      </c>
      <c r="I6" s="5" t="n"/>
      <c r="J6" s="24" t="n"/>
      <c r="K6" s="4" t="inlineStr">
        <is>
          <t>Mensuel</t>
        </is>
      </c>
    </row>
    <row r="7" ht="13.5" customHeight="1" s="141" thickBot="1">
      <c r="A7" s="194" t="n"/>
      <c r="B7" s="159" t="n"/>
      <c r="C7" s="10" t="n"/>
      <c r="D7" s="11" t="n"/>
      <c r="E7" s="11" t="n"/>
      <c r="F7" s="11" t="n"/>
      <c r="G7" s="11" t="n"/>
      <c r="H7" s="12" t="n"/>
      <c r="I7" s="10" t="n"/>
      <c r="J7" s="11" t="n"/>
      <c r="K7" s="12" t="n"/>
    </row>
    <row r="8">
      <c r="A8" s="118" t="n"/>
      <c r="B8" s="115" t="n"/>
      <c r="C8" s="119" t="n"/>
      <c r="D8" s="119" t="n"/>
      <c r="E8" s="119" t="n"/>
      <c r="F8" s="119" t="n"/>
      <c r="G8" s="119" t="n"/>
      <c r="H8" s="119" t="n"/>
      <c r="I8" s="119" t="n"/>
      <c r="J8" s="119" t="n"/>
      <c r="K8" s="120" t="n"/>
    </row>
    <row r="9">
      <c r="A9" s="125" t="inlineStr">
        <is>
          <t>Age : 31 ans</t>
        </is>
      </c>
      <c r="B9" s="126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2" t="n"/>
    </row>
    <row r="10" ht="13.5" customHeight="1" s="141" thickBot="1">
      <c r="A10" s="116" t="n"/>
      <c r="B10" s="117" t="n"/>
      <c r="C10" s="123" t="n"/>
      <c r="D10" s="123" t="n"/>
      <c r="E10" s="123" t="n"/>
      <c r="F10" s="123" t="n"/>
      <c r="G10" s="123" t="n"/>
      <c r="H10" s="123" t="n"/>
      <c r="I10" s="123" t="n"/>
      <c r="J10" s="123" t="n"/>
      <c r="K10" s="124" t="n"/>
    </row>
    <row r="11">
      <c r="A11" s="63" t="n"/>
      <c r="B11" s="64" t="n"/>
      <c r="C11" s="310" t="inlineStr">
        <is>
          <t>DIRECTION DEMANDEUR</t>
        </is>
      </c>
      <c r="D11" s="3" t="n"/>
      <c r="E11" s="1" t="n"/>
      <c r="F11" s="310" t="inlineStr">
        <is>
          <t>DRH</t>
        </is>
      </c>
      <c r="G11" s="3" t="n"/>
      <c r="H11" s="1" t="n"/>
      <c r="I11" s="310" t="inlineStr">
        <is>
          <t>DG</t>
        </is>
      </c>
      <c r="J11" s="3" t="n"/>
      <c r="K11" s="1" t="n"/>
    </row>
    <row r="12">
      <c r="A12" s="154" t="inlineStr">
        <is>
          <t>Nom :</t>
        </is>
      </c>
      <c r="B12" s="156" t="n"/>
      <c r="C12" s="154" t="inlineStr">
        <is>
          <t>Nom :</t>
        </is>
      </c>
      <c r="D12" s="156" t="inlineStr">
        <is>
          <t>M. TERES</t>
        </is>
      </c>
      <c r="E12" s="156" t="n"/>
      <c r="F12" s="154" t="inlineStr">
        <is>
          <t>Nom :</t>
        </is>
      </c>
      <c r="G12" s="156" t="inlineStr">
        <is>
          <t>M. EL GHAZI</t>
        </is>
      </c>
      <c r="H12" s="156" t="n"/>
      <c r="I12" s="154" t="inlineStr">
        <is>
          <t>Nom : M. ROZZANIGO</t>
        </is>
      </c>
      <c r="J12" s="155" t="n"/>
      <c r="K12" s="156" t="n"/>
    </row>
    <row r="13">
      <c r="A13" s="154" t="n"/>
      <c r="B13" s="156" t="n"/>
      <c r="C13" s="154" t="n"/>
      <c r="D13" s="155" t="n"/>
      <c r="E13" s="156" t="n"/>
      <c r="F13" s="154" t="n"/>
      <c r="G13" s="155" t="n"/>
      <c r="H13" s="156" t="n"/>
      <c r="I13" s="154" t="n"/>
      <c r="J13" s="155" t="n"/>
      <c r="K13" s="156" t="n"/>
    </row>
    <row r="14">
      <c r="A14" s="13" t="n"/>
      <c r="B14" s="156" t="n"/>
      <c r="C14" s="13" t="n"/>
      <c r="D14" s="155" t="n"/>
      <c r="E14" s="156" t="n"/>
      <c r="F14" s="13" t="n"/>
      <c r="G14" s="155" t="n"/>
      <c r="H14" s="156" t="n"/>
      <c r="I14" s="13" t="n"/>
      <c r="J14" s="155" t="n"/>
      <c r="K14" s="156" t="n"/>
    </row>
    <row r="15">
      <c r="A15" s="13" t="n"/>
      <c r="B15" s="156" t="n"/>
      <c r="C15" s="13" t="n"/>
      <c r="D15" s="155" t="n"/>
      <c r="E15" s="156" t="n"/>
      <c r="F15" s="13" t="n"/>
      <c r="G15" s="155" t="n"/>
      <c r="H15" s="156" t="n"/>
      <c r="I15" s="13" t="n"/>
      <c r="J15" s="155" t="n"/>
      <c r="K15" s="156" t="n"/>
    </row>
    <row r="16">
      <c r="A16" s="13" t="n"/>
      <c r="B16" s="156" t="n"/>
      <c r="C16" s="13" t="n"/>
      <c r="D16" s="155" t="n"/>
      <c r="E16" s="156" t="n"/>
      <c r="F16" s="13" t="n"/>
      <c r="G16" s="155" t="n"/>
      <c r="H16" s="156" t="n"/>
      <c r="I16" s="13" t="n"/>
      <c r="J16" s="155" t="n"/>
      <c r="K16" s="156" t="n"/>
    </row>
    <row r="17">
      <c r="A17" s="13" t="inlineStr">
        <is>
          <t>Visa :</t>
        </is>
      </c>
      <c r="B17" s="156" t="n"/>
      <c r="C17" s="13" t="inlineStr">
        <is>
          <t>Visa :</t>
        </is>
      </c>
      <c r="D17" s="155" t="n"/>
      <c r="E17" s="156" t="n"/>
      <c r="F17" s="13" t="inlineStr">
        <is>
          <t>Visa :</t>
        </is>
      </c>
      <c r="G17" s="155" t="n"/>
      <c r="H17" s="156" t="n"/>
      <c r="I17" s="13" t="inlineStr">
        <is>
          <t>Visa :</t>
        </is>
      </c>
      <c r="J17" s="155" t="n"/>
      <c r="K17" s="156" t="n"/>
    </row>
    <row r="18" ht="13.5" customHeight="1" s="141" thickBot="1">
      <c r="A18" s="154" t="n"/>
      <c r="B18" s="156" t="n"/>
      <c r="C18" s="154" t="n"/>
      <c r="D18" s="155" t="n"/>
      <c r="E18" s="156" t="n"/>
      <c r="F18" s="154" t="n"/>
      <c r="G18" s="155" t="n"/>
      <c r="H18" s="156" t="n"/>
      <c r="I18" s="154" t="n"/>
      <c r="J18" s="155" t="n"/>
      <c r="K18" s="156" t="n"/>
    </row>
    <row r="19">
      <c r="A19" s="63" t="inlineStr">
        <is>
          <t>FONCTION</t>
        </is>
      </c>
      <c r="B19" s="61" t="n"/>
      <c r="C19" s="62" t="n"/>
      <c r="D19" s="3" t="n"/>
      <c r="E19" s="3" t="n"/>
      <c r="F19" s="3" t="n"/>
      <c r="G19" s="3" t="n"/>
      <c r="H19" s="3" t="n"/>
      <c r="I19" s="3" t="n"/>
      <c r="J19" s="3" t="n"/>
      <c r="K19" s="1" t="n"/>
    </row>
    <row r="20" ht="15" customHeight="1" s="141">
      <c r="A20" s="154" t="n"/>
      <c r="B20" s="144" t="inlineStr">
        <is>
          <t>TITRE DU POSTE :</t>
        </is>
      </c>
      <c r="E20" s="151" t="inlineStr">
        <is>
          <t>Acheteur Senior</t>
        </is>
      </c>
      <c r="K20" s="4" t="n"/>
    </row>
    <row r="21">
      <c r="A21" s="154" t="n"/>
      <c r="B21" s="144" t="n"/>
      <c r="K21" s="4" t="n"/>
    </row>
    <row r="22" ht="13.5" customHeight="1" s="141" thickBot="1">
      <c r="A22" s="157" t="n"/>
      <c r="B22" s="19" t="inlineStr">
        <is>
          <t>UNITE / SERVICE :</t>
        </is>
      </c>
      <c r="C22" s="11" t="n"/>
      <c r="D22" s="11" t="n"/>
      <c r="E22" s="27" t="inlineStr">
        <is>
          <t xml:space="preserve">Direction des Achats </t>
        </is>
      </c>
      <c r="F22" s="11" t="n"/>
      <c r="G22" s="11" t="n"/>
      <c r="H22" s="11" t="n"/>
      <c r="I22" s="11" t="n"/>
      <c r="J22" s="11" t="n"/>
      <c r="K22" s="12" t="n"/>
    </row>
    <row r="23">
      <c r="A23" s="154" t="n"/>
      <c r="B23" s="144" t="n"/>
      <c r="K23" s="4" t="n"/>
    </row>
    <row r="24" ht="15.75" customHeight="1" s="141">
      <c r="A24" s="59" t="n"/>
      <c r="B24" s="65" t="inlineStr">
        <is>
          <t>NOM &amp; PRENOM :</t>
        </is>
      </c>
      <c r="C24" s="66" t="n"/>
      <c r="E24" s="25" t="inlineStr">
        <is>
          <t>M. Kamal HARGUIL</t>
        </is>
      </c>
      <c r="K24" s="4" t="n"/>
    </row>
    <row r="25" ht="13.5" customHeight="1" s="141" thickBot="1">
      <c r="A25" s="157" t="n"/>
      <c r="B25" s="2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2" t="n"/>
    </row>
    <row r="26">
      <c r="A26" s="63" t="n"/>
      <c r="B26" s="67" t="n"/>
      <c r="C26" s="68" t="inlineStr">
        <is>
          <t>REÇU EN ENTRETIEN PAR :</t>
        </is>
      </c>
      <c r="D26" s="21" t="n"/>
      <c r="E26" s="3" t="n"/>
      <c r="F26" s="3" t="n"/>
      <c r="G26" s="3" t="n"/>
      <c r="H26" s="3" t="n"/>
      <c r="I26" s="3" t="n"/>
      <c r="J26" s="3" t="n"/>
      <c r="K26" s="1" t="n"/>
    </row>
    <row r="27">
      <c r="A27" s="5" t="n"/>
      <c r="B27" s="144" t="n"/>
      <c r="K27" s="4" t="n"/>
    </row>
    <row r="28">
      <c r="A28" s="5" t="n"/>
      <c r="B28" s="144" t="inlineStr">
        <is>
          <t>M. TERES</t>
        </is>
      </c>
      <c r="E28" t="inlineStr">
        <is>
          <t>Avis favorable</t>
        </is>
      </c>
      <c r="K28" s="4" t="n"/>
    </row>
    <row r="29">
      <c r="A29" s="5" t="n"/>
      <c r="B29" s="144" t="inlineStr">
        <is>
          <t>M. EL GHAZI</t>
        </is>
      </c>
      <c r="E29" t="inlineStr">
        <is>
          <t>Avis favorable</t>
        </is>
      </c>
      <c r="K29" s="4" t="n"/>
    </row>
    <row r="30">
      <c r="A30" s="5" t="n"/>
      <c r="B30" s="144" t="inlineStr">
        <is>
          <t>M Brahim BASAID</t>
        </is>
      </c>
      <c r="E30" t="inlineStr">
        <is>
          <t>Avis favorable</t>
        </is>
      </c>
      <c r="K30" s="4" t="n"/>
    </row>
    <row r="31">
      <c r="A31" s="5" t="n"/>
      <c r="B31" s="144" t="inlineStr">
        <is>
          <t>M. Jillali NEMMASSI</t>
        </is>
      </c>
      <c r="E31" t="inlineStr">
        <is>
          <t>Avis favorable</t>
        </is>
      </c>
      <c r="K31" s="4" t="n"/>
    </row>
    <row r="32">
      <c r="A32" s="5" t="n"/>
      <c r="B32" s="144" t="inlineStr">
        <is>
          <t>Mme Ghita KBILA</t>
        </is>
      </c>
      <c r="E32" t="inlineStr">
        <is>
          <t>Avis favorable</t>
        </is>
      </c>
      <c r="K32" s="4" t="n"/>
    </row>
    <row r="33" ht="13.5" customHeight="1" s="141" thickBot="1">
      <c r="A33" s="157" t="n"/>
      <c r="B33" s="158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2" t="n"/>
    </row>
    <row r="34">
      <c r="A34" s="63" t="inlineStr">
        <is>
          <t>ENTRÉE EN FONCTION</t>
        </is>
      </c>
      <c r="B34" s="69" t="n"/>
      <c r="C34" s="70" t="n"/>
      <c r="D34" s="3" t="n"/>
      <c r="E34" s="3" t="n"/>
      <c r="F34" s="3" t="n"/>
      <c r="G34" s="3" t="n"/>
      <c r="H34" s="3" t="n"/>
      <c r="I34" s="3" t="n"/>
      <c r="J34" s="3" t="n"/>
      <c r="K34" s="1" t="n"/>
    </row>
    <row r="35">
      <c r="A35" s="154" t="n"/>
      <c r="B35" s="144" t="inlineStr">
        <is>
          <t>DURÉE DU PRÉAVIS</t>
        </is>
      </c>
      <c r="E35" t="inlineStr">
        <is>
          <t>1 mois</t>
        </is>
      </c>
      <c r="K35" s="4" t="n"/>
    </row>
    <row r="36">
      <c r="A36" s="154" t="n"/>
      <c r="B36" s="144" t="inlineStr">
        <is>
          <t>ENTRÉE ENVISAGÉE LE</t>
        </is>
      </c>
      <c r="D36" s="150" t="n"/>
      <c r="E36" s="56" t="n">
        <v>44896</v>
      </c>
      <c r="K36" s="4" t="n"/>
    </row>
    <row r="37" ht="13.5" customHeight="1" s="141" thickBot="1">
      <c r="A37" s="157" t="n"/>
      <c r="B37" s="158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2" t="n"/>
    </row>
    <row r="38">
      <c r="A38" s="63" t="inlineStr">
        <is>
          <t>RÉMUNÉRATION</t>
        </is>
      </c>
      <c r="B38" s="69" t="n"/>
      <c r="C38" s="70" t="n"/>
      <c r="D38" s="3" t="n"/>
      <c r="E38" s="3" t="n"/>
      <c r="F38" s="3" t="n"/>
      <c r="G38" s="3" t="n"/>
      <c r="H38" s="3" t="n"/>
      <c r="I38" s="3" t="n"/>
      <c r="J38" s="3" t="n"/>
      <c r="K38" s="1" t="n"/>
    </row>
    <row r="39">
      <c r="A39" s="5" t="n"/>
      <c r="B39" s="144" t="inlineStr">
        <is>
          <t>SALAIRE</t>
        </is>
      </c>
      <c r="E39" s="31" t="inlineStr">
        <is>
          <t>Salaire de base</t>
        </is>
      </c>
      <c r="F39" s="32" t="n"/>
      <c r="G39" s="32" t="n"/>
      <c r="H39" s="33" t="n">
        <v>14200</v>
      </c>
      <c r="I39" s="34" t="inlineStr">
        <is>
          <t>Dhs brut sur 13,3 mois</t>
        </is>
      </c>
      <c r="J39" s="254" t="n"/>
      <c r="K39" s="36" t="n"/>
    </row>
    <row r="40">
      <c r="A40" s="5" t="n"/>
      <c r="B40" s="144" t="n"/>
      <c r="E40" s="37" t="inlineStr">
        <is>
          <t>Prime de logement</t>
        </is>
      </c>
      <c r="F40" s="254" t="n"/>
      <c r="G40" s="32" t="n"/>
      <c r="H40" s="33" t="n">
        <v>3000</v>
      </c>
      <c r="I40" s="34" t="inlineStr">
        <is>
          <t>Dhs brut sur 12 mois</t>
        </is>
      </c>
      <c r="J40" s="254" t="n"/>
      <c r="K40" s="36" t="n"/>
    </row>
    <row r="41">
      <c r="A41" s="5" t="n"/>
      <c r="B41" s="144" t="n"/>
      <c r="E41" s="37" t="n"/>
      <c r="F41" s="254" t="n"/>
      <c r="G41" s="254" t="n"/>
      <c r="H41" s="33" t="n"/>
      <c r="I41" s="34" t="n"/>
      <c r="J41" s="254" t="n"/>
      <c r="K41" s="36" t="n"/>
    </row>
    <row r="42">
      <c r="A42" s="5" t="n"/>
      <c r="B42" s="144" t="n"/>
      <c r="E42" s="37" t="n"/>
      <c r="F42" s="254" t="n"/>
      <c r="G42" s="254" t="n"/>
      <c r="H42" s="33" t="n"/>
      <c r="I42" s="34" t="n"/>
      <c r="J42" s="254" t="n"/>
      <c r="K42" s="36" t="n"/>
    </row>
    <row r="43">
      <c r="A43" s="5" t="n"/>
      <c r="B43" s="144" t="n"/>
      <c r="E43" s="38" t="n"/>
      <c r="F43" s="139" t="n"/>
      <c r="G43" s="139" t="n"/>
      <c r="H43" s="40" t="n"/>
      <c r="I43" s="127" t="n"/>
      <c r="J43" s="139" t="n"/>
      <c r="K43" s="41" t="n"/>
    </row>
    <row r="44">
      <c r="A44" s="5" t="n"/>
      <c r="B44" s="144" t="n"/>
      <c r="E44" s="257" t="n"/>
      <c r="H44" s="142" t="n"/>
      <c r="I44" s="142" t="n"/>
      <c r="K44" s="28" t="n"/>
    </row>
    <row r="45">
      <c r="A45" s="5" t="n"/>
      <c r="B45" s="144" t="inlineStr">
        <is>
          <t>STATUT</t>
        </is>
      </c>
      <c r="E45" s="257" t="inlineStr">
        <is>
          <t>Cadre</t>
        </is>
      </c>
      <c r="H45" s="54" t="n"/>
      <c r="K45" s="4" t="n"/>
    </row>
    <row r="46">
      <c r="A46" s="5" t="n"/>
      <c r="B46" s="144" t="inlineStr">
        <is>
          <t>DURÉE PÉRIODE D'ESSAI</t>
        </is>
      </c>
      <c r="E46" s="257" t="inlineStr">
        <is>
          <t xml:space="preserve">3 mois renouvellable une fois </t>
        </is>
      </c>
      <c r="K46" s="4" t="n"/>
    </row>
    <row r="47" ht="13.5" customHeight="1" s="141" thickBot="1">
      <c r="A47" s="157" t="n"/>
      <c r="B47" s="158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2" t="n"/>
    </row>
    <row r="48">
      <c r="A48" s="63" t="inlineStr">
        <is>
          <t>TYPE DE CONTRAT</t>
        </is>
      </c>
      <c r="B48" s="69" t="n"/>
      <c r="C48" s="70" t="n"/>
      <c r="D48" s="3" t="n"/>
      <c r="E48" s="3" t="n"/>
      <c r="F48" s="3" t="n"/>
      <c r="G48" s="3" t="n"/>
      <c r="H48" s="3" t="n"/>
      <c r="I48" s="3" t="n"/>
      <c r="J48" s="3" t="n"/>
      <c r="K48" s="1" t="n"/>
    </row>
    <row r="49">
      <c r="A49" s="154" t="n"/>
      <c r="E49" s="43" t="inlineStr">
        <is>
          <t>CONTRAT A DURÉE INDÉTERMINÉE</t>
        </is>
      </c>
      <c r="K49" s="4" t="n"/>
    </row>
    <row r="50" ht="13.5" customHeight="1" s="141" thickBot="1">
      <c r="A50" s="157" t="n"/>
      <c r="B50" s="158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2" t="n"/>
    </row>
    <row r="51">
      <c r="A51" s="63" t="inlineStr">
        <is>
          <t>INFORMATIONS CONCERNANT L'EMBAUCHE</t>
        </is>
      </c>
      <c r="B51" s="69" t="n"/>
      <c r="C51" s="70" t="n"/>
      <c r="D51" s="70" t="n"/>
      <c r="E51" s="70" t="n"/>
      <c r="F51" s="3" t="n"/>
      <c r="G51" s="3" t="n"/>
      <c r="H51" s="3" t="n"/>
      <c r="I51" s="3" t="n"/>
      <c r="J51" s="3" t="n"/>
      <c r="K51" s="1" t="n"/>
    </row>
    <row r="52">
      <c r="A52" s="154" t="n"/>
      <c r="B52" s="155" t="n"/>
      <c r="C52" s="145" t="n"/>
      <c r="E52" s="145" t="n"/>
      <c r="K52" s="4" t="n"/>
    </row>
    <row r="53">
      <c r="A53" s="5" t="n"/>
      <c r="B53" s="144" t="inlineStr">
        <is>
          <t>Formation initiale :</t>
        </is>
      </c>
      <c r="C53" s="145" t="n">
        <v>2010</v>
      </c>
      <c r="D53" s="145" t="inlineStr">
        <is>
          <t>Bac. Scientifique - Lycée Chawki</t>
        </is>
      </c>
      <c r="E53" s="145" t="n"/>
      <c r="K53" s="4" t="n"/>
    </row>
    <row r="54">
      <c r="A54" s="5" t="n"/>
      <c r="B54" s="144" t="n"/>
      <c r="C54" t="n">
        <v>2016</v>
      </c>
      <c r="D54" s="145" t="inlineStr">
        <is>
          <t>Master en Management International et Logistique - HEM Casablanca</t>
        </is>
      </c>
      <c r="E54" s="145" t="n"/>
      <c r="K54" s="4" t="n"/>
    </row>
    <row r="55">
      <c r="A55" s="5" t="n"/>
      <c r="C55" s="145" t="n"/>
      <c r="D55" s="145" t="inlineStr">
        <is>
          <t>Master en Affaires Internationales - IAE Lyon</t>
        </is>
      </c>
      <c r="E55" s="145" t="n"/>
      <c r="K55" s="4" t="n"/>
    </row>
    <row r="56">
      <c r="A56" s="30" t="n"/>
      <c r="B56" s="144" t="n"/>
      <c r="C56" s="145" t="n"/>
      <c r="D56" s="145" t="n"/>
      <c r="E56" s="129" t="n"/>
      <c r="K56" s="4" t="n"/>
    </row>
    <row r="57">
      <c r="A57" s="30" t="n"/>
      <c r="B57" s="144" t="n"/>
      <c r="C57" s="145" t="n"/>
      <c r="D57" s="145" t="n"/>
      <c r="E57" s="129" t="n"/>
      <c r="K57" s="4" t="n"/>
    </row>
    <row r="58">
      <c r="A58" s="5" t="n"/>
      <c r="B58" s="30" t="inlineStr">
        <is>
          <t>Nb d'années d'exp :</t>
        </is>
      </c>
      <c r="C58" s="145" t="inlineStr">
        <is>
          <t>5 ans</t>
        </is>
      </c>
      <c r="D58" s="145" t="inlineStr">
        <is>
          <t xml:space="preserve">Acheteur dans plusieurs secteurs </t>
        </is>
      </c>
      <c r="E58" s="129" t="n"/>
      <c r="K58" s="4" t="n"/>
    </row>
    <row r="59">
      <c r="A59" s="30" t="n"/>
      <c r="B59" s="144" t="n"/>
      <c r="C59" s="145" t="n"/>
      <c r="D59" s="145" t="n"/>
      <c r="E59" s="145" t="n"/>
      <c r="K59" s="4" t="n"/>
    </row>
    <row r="60">
      <c r="A60" s="5" t="n"/>
      <c r="B60" s="144" t="n"/>
      <c r="C60" s="130" t="n"/>
      <c r="D60" s="131" t="n"/>
      <c r="E60" s="145" t="n"/>
      <c r="K60" s="4" t="n"/>
    </row>
    <row r="61">
      <c r="A61" s="5" t="n"/>
      <c r="B61" s="144" t="n"/>
      <c r="C61" s="145" t="n"/>
      <c r="D61" s="145" t="n"/>
      <c r="E61" s="145" t="n"/>
      <c r="K61" s="4" t="n"/>
    </row>
    <row r="62">
      <c r="A62" s="5" t="n"/>
      <c r="B62" s="144" t="inlineStr">
        <is>
          <t>Remarques diverses :</t>
        </is>
      </c>
      <c r="C62" s="145" t="inlineStr">
        <is>
          <t>Voir CV</t>
        </is>
      </c>
      <c r="K62" s="4" t="n"/>
    </row>
    <row r="63" ht="13.5" customHeight="1" s="141" thickBot="1">
      <c r="A63" s="157" t="n"/>
      <c r="B63" s="158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2" t="n"/>
    </row>
  </sheetData>
  <mergeCells count="3">
    <mergeCell ref="I11:K11"/>
    <mergeCell ref="F11:H11"/>
    <mergeCell ref="C11:E11"/>
  </mergeCells>
  <pageMargins left="0.7086614173228347" right="0.7086614173228347" top="0.7480314960629921" bottom="0.7480314960629921" header="0.3149606299212598" footer="0.3149606299212598"/>
  <pageSetup orientation="portrait" paperSize="9" scale="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u815regragum</dc:creator>
  <dcterms:created xmlns:dcterms="http://purl.org/dc/terms/" xmlns:xsi="http://www.w3.org/2001/XMLSchema-instance" xsi:type="dcterms:W3CDTF">2008-10-08T10:37:41Z</dcterms:created>
  <dcterms:modified xmlns:dcterms="http://purl.org/dc/terms/" xmlns:xsi="http://www.w3.org/2001/XMLSchema-instance" xsi:type="dcterms:W3CDTF">2026-04-18T09:47:02Z</dcterms:modified>
  <cp:lastModifiedBy>Ragouby, Yousra (Casablanca) MAR</cp:lastModifiedBy>
  <cp:lastPrinted>2025-09-16T14:53:59Z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0x010100D05A64242E710043829FF0F2F5747814</vt:lpwstr>
  </property>
</Properties>
</file>