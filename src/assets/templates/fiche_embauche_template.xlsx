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hcgroupnet-my.sharepoint.com/personal/r_yousra_cimar_co_ma/Documents/Desktop/"/>
    </mc:Choice>
  </mc:AlternateContent>
  <xr:revisionPtr revIDLastSave="0" documentId="8_{25F94403-350B-4DFE-9F97-6AD94B648F8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iche d'embauche (2)" sheetId="6" r:id="rId1"/>
    <sheet name="Simulateur Mensuel" sheetId="5" r:id="rId2"/>
    <sheet name="Feuil2" sheetId="3" state="hidden" r:id="rId3"/>
  </sheets>
  <definedNames>
    <definedName name="_xlnm.Print_Area" localSheetId="0">'Fiche d''embauche (2)'!$A$2:$I$68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6" l="1"/>
  <c r="S52" i="6"/>
  <c r="E30" i="5" l="1"/>
  <c r="E29" i="5"/>
  <c r="M42" i="6"/>
  <c r="E27" i="5"/>
  <c r="E33" i="5"/>
  <c r="D46" i="5"/>
  <c r="D17" i="5"/>
  <c r="E32" i="5" l="1"/>
  <c r="S43" i="6"/>
  <c r="S42" i="6"/>
  <c r="S41" i="6"/>
  <c r="M41" i="6"/>
  <c r="Q38" i="6"/>
  <c r="P30" i="6"/>
  <c r="P29" i="6"/>
  <c r="P28" i="6"/>
  <c r="P27" i="6"/>
  <c r="P26" i="6"/>
  <c r="P25" i="6"/>
  <c r="P22" i="6"/>
  <c r="P21" i="6"/>
  <c r="C18" i="5"/>
  <c r="O32" i="6" l="1"/>
  <c r="H48" i="6" s="1"/>
  <c r="S50" i="6" l="1"/>
  <c r="M49" i="6"/>
  <c r="E34" i="5"/>
  <c r="C17" i="5" s="1"/>
  <c r="B5" i="3"/>
  <c r="E36" i="5" l="1"/>
  <c r="D43" i="5" l="1"/>
  <c r="D40" i="5"/>
  <c r="D38" i="5"/>
  <c r="D39" i="5"/>
  <c r="D44" i="5" l="1"/>
  <c r="D45" i="5" s="1"/>
  <c r="D48" i="5" l="1"/>
  <c r="D49" i="5" s="1"/>
  <c r="M44" i="6" l="1"/>
  <c r="S48" i="6" l="1"/>
  <c r="M48" i="6"/>
  <c r="M50" i="6" s="1"/>
  <c r="M45" i="6"/>
  <c r="H47" i="6"/>
  <c r="H49" i="6" s="1"/>
  <c r="H50" i="6" s="1"/>
</calcChain>
</file>

<file path=xl/sharedStrings.xml><?xml version="1.0" encoding="utf-8"?>
<sst xmlns="http://schemas.openxmlformats.org/spreadsheetml/2006/main" count="236" uniqueCount="179">
  <si>
    <t>VALIDATION EMBAUCHE</t>
  </si>
  <si>
    <t>CADRE</t>
  </si>
  <si>
    <t>DATE :</t>
  </si>
  <si>
    <t>Création</t>
  </si>
  <si>
    <t>x</t>
  </si>
  <si>
    <t>remplacement</t>
  </si>
  <si>
    <t>Mensuel</t>
  </si>
  <si>
    <t>DIRECTION DEMANDEUR</t>
  </si>
  <si>
    <t>DRH</t>
  </si>
  <si>
    <t>Nom :</t>
  </si>
  <si>
    <t>Visa :</t>
  </si>
  <si>
    <t>FONCTION</t>
  </si>
  <si>
    <t>TITRE DU POSTE :</t>
  </si>
  <si>
    <t>UNITE / SERVICE :</t>
  </si>
  <si>
    <t>Cadre :</t>
  </si>
  <si>
    <t>Dh/jour fixe</t>
  </si>
  <si>
    <t>NOM &amp; PRENOM :</t>
  </si>
  <si>
    <t>Chef de département :</t>
  </si>
  <si>
    <t>REÇU EN ENTRETIEN PAR :</t>
  </si>
  <si>
    <t>Ait Baha :</t>
  </si>
  <si>
    <t>kms</t>
  </si>
  <si>
    <t>Marrakech :</t>
  </si>
  <si>
    <t>Avis favorable</t>
  </si>
  <si>
    <t>Safi :</t>
  </si>
  <si>
    <t>Laâyoune</t>
  </si>
  <si>
    <t>Jorf Lasfar :</t>
  </si>
  <si>
    <t>Casablanca :</t>
  </si>
  <si>
    <t>ENTRÉE EN FONCTION</t>
  </si>
  <si>
    <t>Nombre de jours travaillés</t>
  </si>
  <si>
    <t>jours</t>
  </si>
  <si>
    <t>Dhs</t>
  </si>
  <si>
    <t>DURÉE DU PRÉAVIS</t>
  </si>
  <si>
    <t>ENTRÉE ENVISAGÉE LE</t>
  </si>
  <si>
    <t>RÉMUNÉRATION</t>
  </si>
  <si>
    <t>SALAIRE</t>
  </si>
  <si>
    <t>Salaire de base</t>
  </si>
  <si>
    <t>Dhs brut sur 13,3 mois</t>
  </si>
  <si>
    <t>Salaire annuel brut :</t>
  </si>
  <si>
    <t>Prime de logement</t>
  </si>
  <si>
    <t>Dhs brut sur 12 mois</t>
  </si>
  <si>
    <t>MBO</t>
  </si>
  <si>
    <t>Prime de site</t>
  </si>
  <si>
    <t>Net mensuel</t>
  </si>
  <si>
    <t>Net mensuel + IK</t>
  </si>
  <si>
    <t xml:space="preserve">Salaire net mensuel </t>
  </si>
  <si>
    <t>Net annuel sur 12 mois</t>
  </si>
  <si>
    <t>IK sur 12 mois</t>
  </si>
  <si>
    <t>Moyen net sur 12 mois</t>
  </si>
  <si>
    <t>STATUT</t>
  </si>
  <si>
    <t>DURÉE PÉRIODE D'ESSAI</t>
  </si>
  <si>
    <t>TYPE DE CONTRAT</t>
  </si>
  <si>
    <t>CONTRAT A DURÉE INDÉTERMINÉE</t>
  </si>
  <si>
    <t>INFORMATIONS CONCERNANT L'EMBAUCHE</t>
  </si>
  <si>
    <t>Bonus (MBO)</t>
  </si>
  <si>
    <t>Dhs bruts pour 100%</t>
  </si>
  <si>
    <t>Formation initiale :</t>
  </si>
  <si>
    <t>CIMR</t>
  </si>
  <si>
    <t>Mutuelle maladie WafaAssurances</t>
  </si>
  <si>
    <t>Prime de l'aïd</t>
  </si>
  <si>
    <t>Dhs bruts</t>
  </si>
  <si>
    <t xml:space="preserve">Avance aid </t>
  </si>
  <si>
    <t>Dhs nets sur 10 mois</t>
  </si>
  <si>
    <t>Nb d'années d'exp :</t>
  </si>
  <si>
    <t>Avance sociale</t>
  </si>
  <si>
    <t>Dhs nets sur 12 mois</t>
  </si>
  <si>
    <t>Remarques diverses :</t>
  </si>
  <si>
    <t>Voir CV</t>
  </si>
  <si>
    <t>Cadre</t>
  </si>
  <si>
    <t>Barèmre IGR 2010</t>
  </si>
  <si>
    <t>Tranche</t>
  </si>
  <si>
    <t>Taux</t>
  </si>
  <si>
    <t>Somme à déduire</t>
  </si>
  <si>
    <t>15001 et plus</t>
  </si>
  <si>
    <t>Taux appliqués</t>
  </si>
  <si>
    <t>Rubriques</t>
  </si>
  <si>
    <t>Plafond</t>
  </si>
  <si>
    <t>Frais professionnels</t>
  </si>
  <si>
    <t>CNSS</t>
  </si>
  <si>
    <t>CIMR
(3%,3,75%,4,5%,5,25% ou 6%)</t>
  </si>
  <si>
    <t>Retraite Complémentaire</t>
  </si>
  <si>
    <t>N/A</t>
  </si>
  <si>
    <t>Retraite 55 ans</t>
  </si>
  <si>
    <t>Mutuelle</t>
  </si>
  <si>
    <t>Charges familliales</t>
  </si>
  <si>
    <t>Nombre de personnes à charge</t>
  </si>
  <si>
    <t>Salaire brut de base</t>
  </si>
  <si>
    <t>Taux Ancienneté</t>
  </si>
  <si>
    <t>Indemnite  imposable</t>
  </si>
  <si>
    <t>Rma</t>
  </si>
  <si>
    <t>Revenu brut global</t>
  </si>
  <si>
    <t>Interets prêt immobilier</t>
  </si>
  <si>
    <t>Montant du revenu brut imposable</t>
  </si>
  <si>
    <t>Salaire Brut Imposable</t>
  </si>
  <si>
    <t>IGR Brut</t>
  </si>
  <si>
    <t>CSS</t>
  </si>
  <si>
    <t>IGR NET</t>
  </si>
  <si>
    <t>Net à payer</t>
  </si>
  <si>
    <t>Autre prélevement</t>
  </si>
  <si>
    <t>MENSUALITE CREDIT</t>
  </si>
  <si>
    <t>NET RECU</t>
  </si>
  <si>
    <t>X</t>
  </si>
  <si>
    <t>Age : 31 ans</t>
  </si>
  <si>
    <t>DG</t>
  </si>
  <si>
    <t>M. TERES</t>
  </si>
  <si>
    <t>M. EL GHAZI</t>
  </si>
  <si>
    <t>Nom : M. ROZZANIGO</t>
  </si>
  <si>
    <t>Acheteur Senior</t>
  </si>
  <si>
    <t xml:space="preserve">Direction des Achats </t>
  </si>
  <si>
    <t>M. Kamal HARGUIL</t>
  </si>
  <si>
    <t>M Brahim BASAID</t>
  </si>
  <si>
    <t>M. Jillali NEMMASSI</t>
  </si>
  <si>
    <t>Mme Ghita KBILA</t>
  </si>
  <si>
    <t>1 mois</t>
  </si>
  <si>
    <t xml:space="preserve">3 mois renouvellable une fois </t>
  </si>
  <si>
    <t>Bac. Scientifique - Lycée Chawki</t>
  </si>
  <si>
    <t>Master en Management International et Logistique - HEM Casablanca</t>
  </si>
  <si>
    <t>Master en Affaires Internationales - IAE Lyon</t>
  </si>
  <si>
    <t>5 ans</t>
  </si>
  <si>
    <t xml:space="preserve">Acheteur dans plusieurs secteurs </t>
  </si>
  <si>
    <t>[0-3333]</t>
  </si>
  <si>
    <t>[3334-5000]</t>
  </si>
  <si>
    <t>[5001-6667]</t>
  </si>
  <si>
    <t>[6668-8333]</t>
  </si>
  <si>
    <t>[8334-15000]</t>
  </si>
  <si>
    <t xml:space="preserve">Indem Transport </t>
  </si>
  <si>
    <t xml:space="preserve">Indemnité de transport </t>
  </si>
  <si>
    <t>Dhs net sur 12 mois</t>
  </si>
  <si>
    <t>IK</t>
  </si>
  <si>
    <t>Salaire net perçu</t>
  </si>
  <si>
    <t>Non</t>
  </si>
  <si>
    <t xml:space="preserve">3 mois </t>
  </si>
  <si>
    <t>Prime de représentation</t>
  </si>
  <si>
    <t>Salaire brut imposable</t>
  </si>
  <si>
    <t>2 mois</t>
  </si>
  <si>
    <t>M.CHAFIQ</t>
  </si>
  <si>
    <t>Mme.MOUNIB</t>
  </si>
  <si>
    <t xml:space="preserve">Nom et prénom </t>
  </si>
  <si>
    <t>Intitulé du poste</t>
  </si>
  <si>
    <t>Salaire Brut</t>
  </si>
  <si>
    <t>Nombre d'expérience
 avant intégration CIMAR</t>
  </si>
  <si>
    <t xml:space="preserve">Prime de 
logement </t>
  </si>
  <si>
    <t>Prime de 
représentation</t>
  </si>
  <si>
    <t>Situation Actuelle</t>
  </si>
  <si>
    <t>Contrat à durée indéterminée</t>
  </si>
  <si>
    <t>Indemnités Kil:</t>
  </si>
  <si>
    <t>Entrée en fonction:</t>
  </si>
  <si>
    <t>Remplacement</t>
  </si>
  <si>
    <t xml:space="preserve">Motif de recrutement: </t>
  </si>
  <si>
    <t>Entrée envisagé le:</t>
  </si>
  <si>
    <t>Durée de préavis:</t>
  </si>
  <si>
    <t>Statut:</t>
  </si>
  <si>
    <t>Type de contrat:</t>
  </si>
  <si>
    <t>Durée de période d'essai</t>
  </si>
  <si>
    <t xml:space="preserve">Voiture liée au poste: </t>
  </si>
  <si>
    <t>Direction Demandeuse</t>
  </si>
  <si>
    <t>Direction RH</t>
  </si>
  <si>
    <t>Mme. IKKEZ</t>
  </si>
  <si>
    <t>Direction Générale</t>
  </si>
  <si>
    <t>M. WEIG</t>
  </si>
  <si>
    <t xml:space="preserve">Salaire de base: </t>
  </si>
  <si>
    <t>Salaire Net:</t>
  </si>
  <si>
    <t>Ancienneté
 CIMAR</t>
  </si>
  <si>
    <t>Site d'affe-
ctation</t>
  </si>
  <si>
    <t>Direction/ Département:</t>
  </si>
  <si>
    <t xml:space="preserve">Pour toute information complémentaire: voir le CV </t>
  </si>
  <si>
    <t>Comparatif Interne</t>
  </si>
  <si>
    <t>Nom &amp; Prénom du candidat retenu</t>
  </si>
  <si>
    <t>Fonction</t>
  </si>
  <si>
    <t>FICHE DE VALIDATION D'EMBAUCHE</t>
  </si>
  <si>
    <t xml:space="preserve">Rattachement Hiérarchique: </t>
  </si>
  <si>
    <t>Titre de poste:</t>
  </si>
  <si>
    <t>Offre Ciments du Maroc</t>
  </si>
  <si>
    <t>Ingénieur électricien</t>
  </si>
  <si>
    <t>Direction Technique/ Usine d'Aït Baha_Département maintenance</t>
  </si>
  <si>
    <t>Chef de département maintenance</t>
  </si>
  <si>
    <t>M.EZ-ZAHIDY</t>
  </si>
  <si>
    <t>M.BENDNAIBA</t>
  </si>
  <si>
    <t>Prime de chantier</t>
  </si>
  <si>
    <t>Indemnité de panier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</si>
</sst>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#,##0\ _F"/>
    <numFmt numFmtId="165" formatCode="_-* #,##0.00\ _F_-;\-* #,##0.00\ _F_-;_-* &quot;-&quot;??\ _F_-;_-@_-"/>
    <numFmt numFmtId="166" formatCode="#,##0.00\ _F"/>
  </numFmts>
  <fonts count="34" x14ac:knownFonts="1">
    <font>
      <sz val="10"/>
      <name val="Arial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6"/>
      <name val="Arial"/>
      <family val="2"/>
    </font>
    <font>
      <b/>
      <i/>
      <sz val="8"/>
      <name val="Arial"/>
      <family val="2"/>
    </font>
    <font>
      <sz val="10"/>
      <name val="Arial"/>
      <family val="2"/>
    </font>
    <font>
      <b/>
      <sz val="12"/>
      <color rgb="FFFF0000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sz val="12"/>
      <color indexed="53"/>
      <name val="Arial"/>
      <family val="2"/>
    </font>
    <font>
      <b/>
      <sz val="10"/>
      <color indexed="61"/>
      <name val="Arial"/>
      <family val="2"/>
    </font>
    <font>
      <b/>
      <sz val="12"/>
      <color indexed="62"/>
      <name val="Times New Roman"/>
      <family val="1"/>
    </font>
    <font>
      <sz val="10"/>
      <color rgb="FFFF0000"/>
      <name val="Arial"/>
      <family val="2"/>
    </font>
    <font>
      <sz val="10"/>
      <color theme="0"/>
      <name val="Arial"/>
      <family val="2"/>
    </font>
    <font>
      <b/>
      <sz val="8"/>
      <color theme="0"/>
      <name val="Arial"/>
      <family val="2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rgb="FFFF0000"/>
      <name val="Calibri"/>
      <family val="2"/>
    </font>
    <font>
      <sz val="9"/>
      <color theme="3"/>
      <name val="Calibri"/>
      <family val="2"/>
    </font>
    <font>
      <sz val="9"/>
      <color rgb="FF203864"/>
      <name val="Calibri"/>
      <family val="2"/>
    </font>
    <font>
      <sz val="9"/>
      <color theme="3"/>
      <name val="Arial"/>
      <family val="2"/>
    </font>
    <font>
      <i/>
      <sz val="10"/>
      <name val="Arial"/>
      <family val="2"/>
    </font>
    <font>
      <b/>
      <sz val="8"/>
      <color rgb="FFFF0000"/>
      <name val="Calibri"/>
      <family val="2"/>
    </font>
    <font>
      <sz val="8"/>
      <name val="Arial"/>
      <family val="2"/>
    </font>
    <font>
      <sz val="8"/>
      <color rgb="FFFF0000"/>
      <name val="Calibri"/>
      <family val="2"/>
    </font>
    <font>
      <sz val="8"/>
      <color rgb="FFFF0000"/>
      <name val="Arial"/>
      <family val="2"/>
    </font>
    <font>
      <sz val="8"/>
      <name val="Calibri"/>
      <family val="2"/>
    </font>
    <font>
      <b/>
      <sz val="7"/>
      <color rgb="FF00B050"/>
      <name val="Calibri"/>
      <family val="2"/>
    </font>
    <font>
      <sz val="10"/>
      <color rgb="FF00B050"/>
      <name val="Arial"/>
      <family val="2"/>
    </font>
    <font>
      <sz val="9"/>
      <name val="Calibri"/>
      <family val="2"/>
    </font>
    <font>
      <b/>
      <sz val="14"/>
      <color rgb="FFFF0000"/>
      <name val="Arial"/>
      <family val="2"/>
    </font>
    <font>
      <b/>
      <sz val="8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DD9C4"/>
        <bgColor rgb="FF000000"/>
      </patternFill>
    </fill>
    <fill>
      <patternFill patternType="solid">
        <fgColor rgb="FFEEECE1"/>
        <bgColor rgb="FF000000"/>
      </patternFill>
    </fill>
    <fill>
      <patternFill patternType="solid">
        <fgColor theme="2" tint="-9.9978637043366805E-2"/>
        <bgColor rgb="FF000000"/>
      </patternFill>
    </fill>
    <fill>
      <patternFill patternType="solid">
        <fgColor theme="2"/>
        <bgColor rgb="FF000000"/>
      </patternFill>
    </fill>
    <fill>
      <patternFill patternType="solid">
        <fgColor theme="0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thick">
        <color indexed="55"/>
      </left>
      <right/>
      <top style="thick">
        <color indexed="55"/>
      </top>
      <bottom/>
      <diagonal/>
    </border>
    <border>
      <left/>
      <right/>
      <top style="thick">
        <color indexed="55"/>
      </top>
      <bottom/>
      <diagonal/>
    </border>
    <border>
      <left style="thick">
        <color indexed="55"/>
      </left>
      <right/>
      <top/>
      <bottom/>
      <diagonal/>
    </border>
    <border>
      <left style="thick">
        <color indexed="55"/>
      </left>
      <right/>
      <top style="medium">
        <color indexed="64"/>
      </top>
      <bottom style="medium">
        <color indexed="64"/>
      </bottom>
      <diagonal/>
    </border>
    <border>
      <left style="thick">
        <color indexed="55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55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ck">
        <color indexed="55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ck">
        <color indexed="55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55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55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55"/>
      </left>
      <right style="thin">
        <color indexed="64"/>
      </right>
      <top style="thin">
        <color indexed="64"/>
      </top>
      <bottom/>
      <diagonal/>
    </border>
    <border>
      <left style="thick">
        <color indexed="38"/>
      </left>
      <right style="thick">
        <color indexed="38"/>
      </right>
      <top style="thick">
        <color indexed="38"/>
      </top>
      <bottom style="thick">
        <color indexed="38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ck">
        <color indexed="38"/>
      </right>
      <top style="thick">
        <color indexed="38"/>
      </top>
      <bottom style="thick">
        <color indexed="38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/>
      <right/>
      <top style="thin">
        <color rgb="FF00B050"/>
      </top>
      <bottom style="thin">
        <color rgb="FF00B050"/>
      </bottom>
      <diagonal/>
    </border>
    <border>
      <left/>
      <right style="medium">
        <color indexed="64"/>
      </right>
      <top style="thin">
        <color rgb="FF00B050"/>
      </top>
      <bottom style="thin">
        <color rgb="FF00B050"/>
      </bottom>
      <diagonal/>
    </border>
    <border>
      <left style="medium">
        <color rgb="FF00B050"/>
      </left>
      <right/>
      <top style="medium">
        <color rgb="FF00B050"/>
      </top>
      <bottom style="medium">
        <color rgb="FF00B050"/>
      </bottom>
      <diagonal/>
    </border>
    <border>
      <left/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</borders>
  <cellStyleXfs count="4">
    <xf numFmtId="0" fontId="0" fillId="0" borderId="0"/>
    <xf numFmtId="9" fontId="10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18" fillId="0" borderId="0" applyFont="0" applyFill="0" applyBorder="0" applyAlignment="0" applyProtection="0"/>
  </cellStyleXfs>
  <cellXfs count="282">
    <xf numFmtId="0" fontId="0" fillId="0" borderId="0" xfId="0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5" xfId="0" applyBorder="1"/>
    <xf numFmtId="0" fontId="0" fillId="0" borderId="4" xfId="0" applyBorder="1"/>
    <xf numFmtId="0" fontId="1" fillId="0" borderId="0" xfId="0" applyFont="1"/>
    <xf numFmtId="15" fontId="3" fillId="0" borderId="5" xfId="0" applyNumberFormat="1" applyFont="1" applyBorder="1" applyAlignment="1">
      <alignment horizontal="center"/>
    </xf>
    <xf numFmtId="0" fontId="0" fillId="0" borderId="7" xfId="0" applyBorder="1"/>
    <xf numFmtId="0" fontId="3" fillId="0" borderId="9" xfId="0" applyFont="1" applyBorder="1"/>
    <xf numFmtId="0" fontId="0" fillId="0" borderId="8" xfId="0" applyBorder="1"/>
    <xf numFmtId="0" fontId="0" fillId="0" borderId="10" xfId="0" applyBorder="1"/>
    <xf numFmtId="0" fontId="0" fillId="0" borderId="9" xfId="0" applyBorder="1"/>
    <xf numFmtId="0" fontId="4" fillId="0" borderId="4" xfId="0" applyFont="1" applyBorder="1"/>
    <xf numFmtId="0" fontId="3" fillId="0" borderId="5" xfId="0" applyFont="1" applyBorder="1"/>
    <xf numFmtId="0" fontId="3" fillId="0" borderId="0" xfId="0" applyFont="1"/>
    <xf numFmtId="0" fontId="3" fillId="0" borderId="4" xfId="0" applyFont="1" applyBorder="1"/>
    <xf numFmtId="0" fontId="5" fillId="0" borderId="0" xfId="0" applyFont="1" applyAlignment="1">
      <alignment horizontal="right"/>
    </xf>
    <xf numFmtId="0" fontId="3" fillId="0" borderId="8" xfId="0" applyFont="1" applyBorder="1"/>
    <xf numFmtId="0" fontId="5" fillId="0" borderId="10" xfId="0" applyFont="1" applyBorder="1" applyAlignment="1">
      <alignment horizontal="right"/>
    </xf>
    <xf numFmtId="0" fontId="3" fillId="0" borderId="10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3" fillId="0" borderId="10" xfId="0" applyFont="1" applyBorder="1"/>
    <xf numFmtId="16" fontId="0" fillId="0" borderId="0" xfId="0" applyNumberFormat="1"/>
    <xf numFmtId="0" fontId="2" fillId="0" borderId="6" xfId="0" applyFont="1" applyBorder="1" applyAlignment="1">
      <alignment horizontal="center"/>
    </xf>
    <xf numFmtId="0" fontId="7" fillId="0" borderId="0" xfId="0" applyFont="1"/>
    <xf numFmtId="0" fontId="8" fillId="0" borderId="0" xfId="0" applyFont="1"/>
    <xf numFmtId="0" fontId="2" fillId="0" borderId="10" xfId="0" applyFont="1" applyBorder="1"/>
    <xf numFmtId="3" fontId="2" fillId="0" borderId="5" xfId="0" applyNumberFormat="1" applyFont="1" applyBorder="1"/>
    <xf numFmtId="0" fontId="6" fillId="0" borderId="0" xfId="0" applyFont="1"/>
    <xf numFmtId="0" fontId="5" fillId="0" borderId="4" xfId="0" applyFont="1" applyBorder="1" applyAlignment="1">
      <alignment horizontal="left"/>
    </xf>
    <xf numFmtId="3" fontId="6" fillId="0" borderId="13" xfId="0" applyNumberFormat="1" applyFont="1" applyBorder="1" applyAlignment="1">
      <alignment horizontal="left"/>
    </xf>
    <xf numFmtId="0" fontId="0" fillId="0" borderId="13" xfId="0" applyBorder="1" applyAlignment="1">
      <alignment horizontal="right"/>
    </xf>
    <xf numFmtId="3" fontId="2" fillId="0" borderId="13" xfId="0" applyNumberFormat="1" applyFont="1" applyBorder="1" applyAlignment="1">
      <alignment horizontal="right"/>
    </xf>
    <xf numFmtId="0" fontId="6" fillId="0" borderId="13" xfId="0" applyFont="1" applyBorder="1"/>
    <xf numFmtId="0" fontId="0" fillId="0" borderId="13" xfId="0" applyBorder="1"/>
    <xf numFmtId="3" fontId="2" fillId="0" borderId="14" xfId="0" applyNumberFormat="1" applyFont="1" applyBorder="1"/>
    <xf numFmtId="0" fontId="6" fillId="0" borderId="13" xfId="0" applyFont="1" applyBorder="1" applyAlignment="1">
      <alignment horizontal="left"/>
    </xf>
    <xf numFmtId="0" fontId="6" fillId="0" borderId="15" xfId="0" applyFont="1" applyBorder="1" applyAlignment="1">
      <alignment horizontal="left"/>
    </xf>
    <xf numFmtId="0" fontId="0" fillId="0" borderId="15" xfId="0" applyBorder="1"/>
    <xf numFmtId="3" fontId="2" fillId="0" borderId="15" xfId="0" applyNumberFormat="1" applyFont="1" applyBorder="1" applyAlignment="1">
      <alignment horizontal="right"/>
    </xf>
    <xf numFmtId="3" fontId="2" fillId="0" borderId="16" xfId="0" applyNumberFormat="1" applyFont="1" applyBorder="1"/>
    <xf numFmtId="0" fontId="6" fillId="0" borderId="0" xfId="0" applyFont="1" applyAlignment="1">
      <alignment horizontal="left"/>
    </xf>
    <xf numFmtId="0" fontId="9" fillId="0" borderId="0" xfId="0" applyFont="1"/>
    <xf numFmtId="4" fontId="1" fillId="2" borderId="41" xfId="0" applyNumberFormat="1" applyFont="1" applyFill="1" applyBorder="1" applyAlignment="1" applyProtection="1">
      <alignment horizontal="center"/>
      <protection locked="0"/>
    </xf>
    <xf numFmtId="9" fontId="2" fillId="2" borderId="41" xfId="0" applyNumberFormat="1" applyFont="1" applyFill="1" applyBorder="1" applyAlignment="1" applyProtection="1">
      <alignment horizontal="center"/>
      <protection locked="0"/>
    </xf>
    <xf numFmtId="4" fontId="2" fillId="2" borderId="41" xfId="2" applyNumberFormat="1" applyFont="1" applyFill="1" applyBorder="1" applyAlignment="1" applyProtection="1">
      <alignment horizontal="center"/>
      <protection locked="0"/>
    </xf>
    <xf numFmtId="4" fontId="1" fillId="2" borderId="41" xfId="2" applyNumberFormat="1" applyFont="1" applyFill="1" applyBorder="1" applyAlignment="1" applyProtection="1">
      <alignment horizontal="center"/>
      <protection locked="0"/>
    </xf>
    <xf numFmtId="3" fontId="0" fillId="0" borderId="0" xfId="0" applyNumberFormat="1"/>
    <xf numFmtId="0" fontId="0" fillId="0" borderId="42" xfId="0" applyBorder="1"/>
    <xf numFmtId="3" fontId="2" fillId="0" borderId="0" xfId="0" applyNumberFormat="1" applyFont="1"/>
    <xf numFmtId="0" fontId="14" fillId="0" borderId="0" xfId="0" applyFont="1"/>
    <xf numFmtId="0" fontId="14" fillId="0" borderId="42" xfId="0" applyFont="1" applyBorder="1"/>
    <xf numFmtId="0" fontId="2" fillId="0" borderId="0" xfId="0" applyFont="1"/>
    <xf numFmtId="0" fontId="0" fillId="0" borderId="0" xfId="0" quotePrefix="1"/>
    <xf numFmtId="3" fontId="6" fillId="0" borderId="0" xfId="0" quotePrefix="1" applyNumberFormat="1" applyFont="1" applyAlignment="1">
      <alignment horizontal="left"/>
    </xf>
    <xf numFmtId="14" fontId="6" fillId="0" borderId="0" xfId="0" applyNumberFormat="1" applyFont="1"/>
    <xf numFmtId="0" fontId="15" fillId="3" borderId="1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16" fillId="3" borderId="8" xfId="0" applyFont="1" applyFill="1" applyBorder="1"/>
    <xf numFmtId="0" fontId="3" fillId="3" borderId="3" xfId="0" applyFont="1" applyFill="1" applyBorder="1"/>
    <xf numFmtId="0" fontId="0" fillId="3" borderId="3" xfId="0" applyFill="1" applyBorder="1"/>
    <xf numFmtId="0" fontId="16" fillId="3" borderId="1" xfId="0" applyFont="1" applyFill="1" applyBorder="1"/>
    <xf numFmtId="0" fontId="16" fillId="3" borderId="2" xfId="0" applyFont="1" applyFill="1" applyBorder="1"/>
    <xf numFmtId="0" fontId="16" fillId="3" borderId="0" xfId="0" applyFont="1" applyFill="1" applyAlignment="1">
      <alignment horizontal="right"/>
    </xf>
    <xf numFmtId="0" fontId="15" fillId="3" borderId="0" xfId="0" applyFont="1" applyFill="1"/>
    <xf numFmtId="0" fontId="16" fillId="3" borderId="3" xfId="0" applyFont="1" applyFill="1" applyBorder="1" applyAlignment="1">
      <alignment horizontal="right"/>
    </xf>
    <xf numFmtId="0" fontId="17" fillId="3" borderId="3" xfId="0" applyFont="1" applyFill="1" applyBorder="1" applyAlignment="1">
      <alignment horizontal="right"/>
    </xf>
    <xf numFmtId="0" fontId="16" fillId="3" borderId="3" xfId="0" applyFont="1" applyFill="1" applyBorder="1"/>
    <xf numFmtId="0" fontId="15" fillId="3" borderId="3" xfId="0" applyFont="1" applyFill="1" applyBorder="1"/>
    <xf numFmtId="0" fontId="2" fillId="0" borderId="5" xfId="0" applyFont="1" applyBorder="1" applyAlignment="1">
      <alignment horizontal="center"/>
    </xf>
    <xf numFmtId="0" fontId="0" fillId="4" borderId="17" xfId="0" applyFill="1" applyBorder="1"/>
    <xf numFmtId="0" fontId="0" fillId="4" borderId="18" xfId="0" applyFill="1" applyBorder="1"/>
    <xf numFmtId="0" fontId="0" fillId="4" borderId="19" xfId="0" applyFill="1" applyBorder="1"/>
    <xf numFmtId="0" fontId="0" fillId="4" borderId="0" xfId="0" applyFill="1"/>
    <xf numFmtId="0" fontId="12" fillId="4" borderId="21" xfId="0" applyFont="1" applyFill="1" applyBorder="1" applyAlignment="1">
      <alignment horizontal="center"/>
    </xf>
    <xf numFmtId="0" fontId="12" fillId="4" borderId="22" xfId="0" applyFont="1" applyFill="1" applyBorder="1" applyAlignment="1">
      <alignment horizontal="center"/>
    </xf>
    <xf numFmtId="0" fontId="12" fillId="4" borderId="23" xfId="0" applyFont="1" applyFill="1" applyBorder="1" applyAlignment="1">
      <alignment horizontal="center"/>
    </xf>
    <xf numFmtId="0" fontId="0" fillId="4" borderId="24" xfId="0" applyFill="1" applyBorder="1" applyAlignment="1">
      <alignment horizontal="center"/>
    </xf>
    <xf numFmtId="9" fontId="0" fillId="4" borderId="25" xfId="0" applyNumberFormat="1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9" fontId="0" fillId="4" borderId="7" xfId="0" applyNumberFormat="1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9" fontId="0" fillId="4" borderId="29" xfId="0" applyNumberFormat="1" applyFill="1" applyBorder="1" applyAlignment="1">
      <alignment horizontal="center"/>
    </xf>
    <xf numFmtId="0" fontId="0" fillId="4" borderId="30" xfId="0" applyFill="1" applyBorder="1" applyAlignment="1">
      <alignment horizontal="center"/>
    </xf>
    <xf numFmtId="0" fontId="0" fillId="4" borderId="31" xfId="0" applyFill="1" applyBorder="1" applyAlignment="1">
      <alignment horizontal="center"/>
    </xf>
    <xf numFmtId="9" fontId="0" fillId="4" borderId="32" xfId="0" applyNumberFormat="1" applyFill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12" fillId="4" borderId="34" xfId="0" applyFont="1" applyFill="1" applyBorder="1" applyAlignment="1">
      <alignment horizontal="center"/>
    </xf>
    <xf numFmtId="0" fontId="12" fillId="4" borderId="35" xfId="0" applyFont="1" applyFill="1" applyBorder="1" applyAlignment="1">
      <alignment horizontal="center"/>
    </xf>
    <xf numFmtId="0" fontId="12" fillId="4" borderId="36" xfId="0" applyFont="1" applyFill="1" applyBorder="1" applyAlignment="1">
      <alignment horizontal="center"/>
    </xf>
    <xf numFmtId="0" fontId="2" fillId="4" borderId="37" xfId="0" applyFont="1" applyFill="1" applyBorder="1" applyAlignment="1">
      <alignment vertical="center"/>
    </xf>
    <xf numFmtId="10" fontId="0" fillId="4" borderId="38" xfId="0" applyNumberFormat="1" applyFill="1" applyBorder="1" applyAlignment="1">
      <alignment horizontal="center" vertical="center"/>
    </xf>
    <xf numFmtId="0" fontId="2" fillId="4" borderId="27" xfId="0" applyFont="1" applyFill="1" applyBorder="1" applyAlignment="1">
      <alignment vertical="center"/>
    </xf>
    <xf numFmtId="10" fontId="0" fillId="4" borderId="7" xfId="0" applyNumberFormat="1" applyFill="1" applyBorder="1" applyAlignment="1">
      <alignment horizontal="center" vertical="center"/>
    </xf>
    <xf numFmtId="164" fontId="0" fillId="4" borderId="28" xfId="0" applyNumberFormat="1" applyFill="1" applyBorder="1" applyAlignment="1">
      <alignment horizontal="center" vertical="center" wrapText="1"/>
    </xf>
    <xf numFmtId="0" fontId="2" fillId="4" borderId="40" xfId="0" applyFont="1" applyFill="1" applyBorder="1" applyAlignment="1">
      <alignment horizontal="left" vertical="center" wrapText="1"/>
    </xf>
    <xf numFmtId="10" fontId="0" fillId="4" borderId="29" xfId="0" applyNumberFormat="1" applyFill="1" applyBorder="1" applyAlignment="1">
      <alignment horizontal="center" vertical="center"/>
    </xf>
    <xf numFmtId="164" fontId="0" fillId="4" borderId="30" xfId="0" applyNumberFormat="1" applyFill="1" applyBorder="1" applyAlignment="1">
      <alignment horizontal="center" vertical="center" wrapText="1"/>
    </xf>
    <xf numFmtId="0" fontId="2" fillId="4" borderId="40" xfId="0" applyFont="1" applyFill="1" applyBorder="1" applyAlignment="1">
      <alignment vertical="center"/>
    </xf>
    <xf numFmtId="0" fontId="2" fillId="4" borderId="31" xfId="0" applyFont="1" applyFill="1" applyBorder="1" applyAlignment="1">
      <alignment vertical="center"/>
    </xf>
    <xf numFmtId="164" fontId="0" fillId="4" borderId="33" xfId="0" applyNumberForma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6" fillId="6" borderId="0" xfId="0" applyFont="1" applyFill="1"/>
    <xf numFmtId="0" fontId="6" fillId="7" borderId="0" xfId="0" applyFont="1" applyFill="1"/>
    <xf numFmtId="3" fontId="6" fillId="6" borderId="0" xfId="0" applyNumberFormat="1" applyFont="1" applyFill="1"/>
    <xf numFmtId="3" fontId="6" fillId="7" borderId="0" xfId="0" applyNumberFormat="1" applyFont="1" applyFill="1"/>
    <xf numFmtId="0" fontId="2" fillId="8" borderId="0" xfId="0" applyFont="1" applyFill="1"/>
    <xf numFmtId="0" fontId="6" fillId="8" borderId="0" xfId="0" applyFont="1" applyFill="1"/>
    <xf numFmtId="3" fontId="2" fillId="8" borderId="0" xfId="0" applyNumberFormat="1" applyFont="1" applyFill="1"/>
    <xf numFmtId="0" fontId="2" fillId="9" borderId="0" xfId="0" applyFont="1" applyFill="1"/>
    <xf numFmtId="0" fontId="6" fillId="9" borderId="0" xfId="0" applyFont="1" applyFill="1"/>
    <xf numFmtId="3" fontId="2" fillId="9" borderId="0" xfId="0" applyNumberFormat="1" applyFont="1" applyFill="1"/>
    <xf numFmtId="0" fontId="3" fillId="10" borderId="3" xfId="0" applyFont="1" applyFill="1" applyBorder="1"/>
    <xf numFmtId="0" fontId="3" fillId="10" borderId="8" xfId="0" applyFont="1" applyFill="1" applyBorder="1"/>
    <xf numFmtId="0" fontId="3" fillId="10" borderId="10" xfId="0" applyFont="1" applyFill="1" applyBorder="1"/>
    <xf numFmtId="0" fontId="3" fillId="10" borderId="1" xfId="0" applyFont="1" applyFill="1" applyBorder="1"/>
    <xf numFmtId="0" fontId="6" fillId="10" borderId="3" xfId="0" applyFont="1" applyFill="1" applyBorder="1"/>
    <xf numFmtId="0" fontId="6" fillId="10" borderId="2" xfId="0" applyFont="1" applyFill="1" applyBorder="1"/>
    <xf numFmtId="0" fontId="6" fillId="10" borderId="0" xfId="0" applyFont="1" applyFill="1"/>
    <xf numFmtId="0" fontId="6" fillId="10" borderId="5" xfId="0" applyFont="1" applyFill="1" applyBorder="1"/>
    <xf numFmtId="0" fontId="6" fillId="10" borderId="10" xfId="0" applyFont="1" applyFill="1" applyBorder="1"/>
    <xf numFmtId="0" fontId="6" fillId="10" borderId="9" xfId="0" applyFont="1" applyFill="1" applyBorder="1"/>
    <xf numFmtId="0" fontId="3" fillId="10" borderId="4" xfId="0" applyFont="1" applyFill="1" applyBorder="1" applyAlignment="1">
      <alignment vertical="center"/>
    </xf>
    <xf numFmtId="0" fontId="3" fillId="10" borderId="0" xfId="0" applyFont="1" applyFill="1" applyAlignment="1">
      <alignment vertical="center"/>
    </xf>
    <xf numFmtId="0" fontId="6" fillId="0" borderId="15" xfId="0" applyFont="1" applyBorder="1"/>
    <xf numFmtId="10" fontId="0" fillId="0" borderId="0" xfId="1" applyNumberFormat="1" applyFont="1"/>
    <xf numFmtId="0" fontId="6" fillId="0" borderId="0" xfId="0" quotePrefix="1" applyFont="1"/>
    <xf numFmtId="0" fontId="6" fillId="0" borderId="0" xfId="0" applyFont="1" applyAlignment="1">
      <alignment wrapText="1"/>
    </xf>
    <xf numFmtId="0" fontId="6" fillId="0" borderId="0" xfId="0" applyFont="1" applyAlignment="1">
      <alignment vertical="center"/>
    </xf>
    <xf numFmtId="0" fontId="2" fillId="9" borderId="0" xfId="0" quotePrefix="1" applyFont="1" applyFill="1"/>
    <xf numFmtId="9" fontId="0" fillId="0" borderId="0" xfId="0" applyNumberFormat="1"/>
    <xf numFmtId="2" fontId="0" fillId="4" borderId="28" xfId="0" applyNumberFormat="1" applyFill="1" applyBorder="1" applyAlignment="1">
      <alignment horizontal="center"/>
    </xf>
    <xf numFmtId="166" fontId="0" fillId="4" borderId="32" xfId="0" applyNumberFormat="1" applyFill="1" applyBorder="1" applyAlignment="1">
      <alignment horizontal="center" vertical="center" wrapText="1"/>
    </xf>
    <xf numFmtId="1" fontId="2" fillId="2" borderId="43" xfId="0" applyNumberFormat="1" applyFont="1" applyFill="1" applyBorder="1" applyAlignment="1" applyProtection="1">
      <alignment horizontal="center"/>
      <protection locked="0"/>
    </xf>
    <xf numFmtId="166" fontId="0" fillId="4" borderId="39" xfId="0" applyNumberFormat="1" applyFill="1" applyBorder="1" applyAlignment="1">
      <alignment horizontal="center" vertical="center" wrapText="1"/>
    </xf>
    <xf numFmtId="4" fontId="0" fillId="0" borderId="0" xfId="0" applyNumberFormat="1"/>
    <xf numFmtId="0" fontId="0" fillId="0" borderId="15" xfId="0" applyBorder="1" applyAlignment="1"/>
    <xf numFmtId="0" fontId="6" fillId="0" borderId="53" xfId="0" applyFont="1" applyBorder="1" applyAlignment="1"/>
    <xf numFmtId="0" fontId="0" fillId="0" borderId="0" xfId="0" applyBorder="1"/>
    <xf numFmtId="3" fontId="6" fillId="0" borderId="0" xfId="0" quotePrefix="1" applyNumberFormat="1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5" fillId="0" borderId="0" xfId="0" applyFont="1" applyBorder="1" applyAlignment="1">
      <alignment horizontal="right"/>
    </xf>
    <xf numFmtId="0" fontId="6" fillId="0" borderId="0" xfId="0" applyFont="1" applyBorder="1"/>
    <xf numFmtId="0" fontId="3" fillId="0" borderId="0" xfId="0" applyFont="1" applyBorder="1"/>
    <xf numFmtId="0" fontId="6" fillId="0" borderId="52" xfId="0" applyFont="1" applyBorder="1" applyAlignment="1"/>
    <xf numFmtId="0" fontId="0" fillId="0" borderId="13" xfId="0" applyBorder="1" applyAlignment="1"/>
    <xf numFmtId="0" fontId="2" fillId="0" borderId="0" xfId="0" applyFont="1" applyBorder="1"/>
    <xf numFmtId="16" fontId="0" fillId="0" borderId="0" xfId="0" applyNumberFormat="1" applyBorder="1"/>
    <xf numFmtId="0" fontId="8" fillId="0" borderId="0" xfId="0" applyFont="1" applyBorder="1"/>
    <xf numFmtId="0" fontId="3" fillId="0" borderId="0" xfId="0" applyFont="1" applyBorder="1" applyAlignment="1">
      <alignment horizontal="right"/>
    </xf>
    <xf numFmtId="0" fontId="2" fillId="0" borderId="0" xfId="0" applyFont="1" applyBorder="1" applyAlignment="1">
      <alignment horizontal="left"/>
    </xf>
    <xf numFmtId="0" fontId="3" fillId="0" borderId="4" xfId="0" applyFont="1" applyBorder="1" applyAlignment="1"/>
    <xf numFmtId="0" fontId="3" fillId="0" borderId="0" xfId="0" applyFont="1" applyBorder="1" applyAlignment="1"/>
    <xf numFmtId="0" fontId="3" fillId="0" borderId="5" xfId="0" applyFont="1" applyBorder="1" applyAlignment="1"/>
    <xf numFmtId="0" fontId="3" fillId="0" borderId="8" xfId="0" applyFont="1" applyBorder="1" applyAlignment="1"/>
    <xf numFmtId="0" fontId="3" fillId="0" borderId="10" xfId="0" applyFont="1" applyBorder="1" applyAlignment="1"/>
    <xf numFmtId="0" fontId="3" fillId="0" borderId="9" xfId="0" applyFont="1" applyBorder="1" applyAlignment="1"/>
    <xf numFmtId="0" fontId="0" fillId="0" borderId="0" xfId="0" applyBorder="1" applyAlignment="1">
      <alignment horizontal="left"/>
    </xf>
    <xf numFmtId="0" fontId="6" fillId="0" borderId="0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24" fillId="0" borderId="7" xfId="0" applyFont="1" applyBorder="1" applyAlignment="1">
      <alignment vertical="center"/>
    </xf>
    <xf numFmtId="0" fontId="25" fillId="0" borderId="7" xfId="0" quotePrefix="1" applyFont="1" applyBorder="1" applyAlignment="1">
      <alignment horizontal="center"/>
    </xf>
    <xf numFmtId="43" fontId="27" fillId="0" borderId="7" xfId="3" applyFont="1" applyBorder="1"/>
    <xf numFmtId="0" fontId="26" fillId="0" borderId="7" xfId="0" applyFont="1" applyBorder="1" applyAlignment="1">
      <alignment horizontal="center" vertical="center"/>
    </xf>
    <xf numFmtId="0" fontId="19" fillId="0" borderId="0" xfId="0" applyFont="1" applyBorder="1" applyAlignment="1">
      <alignment vertical="center"/>
    </xf>
    <xf numFmtId="0" fontId="20" fillId="0" borderId="0" xfId="0" applyFont="1" applyBorder="1" applyAlignment="1">
      <alignment vertical="center"/>
    </xf>
    <xf numFmtId="43" fontId="20" fillId="0" borderId="0" xfId="3" applyFont="1" applyBorder="1" applyAlignment="1">
      <alignment horizontal="center" vertical="center"/>
    </xf>
    <xf numFmtId="0" fontId="20" fillId="0" borderId="0" xfId="0" applyFont="1" applyBorder="1" applyAlignment="1">
      <alignment horizontal="center" vertical="center"/>
    </xf>
    <xf numFmtId="0" fontId="21" fillId="0" borderId="0" xfId="0" applyFont="1" applyBorder="1" applyAlignment="1">
      <alignment horizontal="center" vertical="center"/>
    </xf>
    <xf numFmtId="0" fontId="22" fillId="0" borderId="0" xfId="0" applyFont="1" applyBorder="1" applyAlignment="1">
      <alignment horizontal="center"/>
    </xf>
    <xf numFmtId="43" fontId="22" fillId="0" borderId="0" xfId="3" applyFont="1" applyBorder="1"/>
    <xf numFmtId="0" fontId="9" fillId="0" borderId="0" xfId="0" quotePrefix="1" applyFont="1" applyBorder="1" applyAlignment="1">
      <alignment horizontal="center"/>
    </xf>
    <xf numFmtId="0" fontId="5" fillId="0" borderId="0" xfId="0" applyFont="1" applyBorder="1" applyAlignment="1">
      <alignment horizontal="left"/>
    </xf>
    <xf numFmtId="0" fontId="20" fillId="0" borderId="8" xfId="0" applyFont="1" applyBorder="1" applyAlignment="1">
      <alignment vertical="center"/>
    </xf>
    <xf numFmtId="0" fontId="22" fillId="0" borderId="9" xfId="0" applyFont="1" applyBorder="1" applyAlignment="1">
      <alignment horizontal="center"/>
    </xf>
    <xf numFmtId="0" fontId="20" fillId="0" borderId="1" xfId="0" applyFont="1" applyBorder="1" applyAlignment="1">
      <alignment vertical="center"/>
    </xf>
    <xf numFmtId="0" fontId="21" fillId="0" borderId="3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/>
    </xf>
    <xf numFmtId="0" fontId="9" fillId="0" borderId="10" xfId="0" quotePrefix="1" applyFont="1" applyBorder="1" applyAlignment="1">
      <alignment horizontal="center"/>
    </xf>
    <xf numFmtId="0" fontId="2" fillId="0" borderId="0" xfId="0" applyFont="1" applyBorder="1" applyAlignment="1">
      <alignment vertical="center"/>
    </xf>
    <xf numFmtId="0" fontId="28" fillId="0" borderId="7" xfId="0" applyFont="1" applyBorder="1" applyAlignment="1">
      <alignment horizontal="center" vertical="center"/>
    </xf>
    <xf numFmtId="0" fontId="25" fillId="0" borderId="28" xfId="0" applyFont="1" applyBorder="1" applyAlignment="1">
      <alignment horizontal="center"/>
    </xf>
    <xf numFmtId="43" fontId="25" fillId="0" borderId="7" xfId="3" applyFont="1" applyBorder="1"/>
    <xf numFmtId="0" fontId="30" fillId="0" borderId="3" xfId="0" applyFont="1" applyBorder="1"/>
    <xf numFmtId="0" fontId="0" fillId="3" borderId="0" xfId="0" applyFill="1" applyBorder="1"/>
    <xf numFmtId="0" fontId="14" fillId="0" borderId="0" xfId="0" applyFont="1" applyBorder="1"/>
    <xf numFmtId="0" fontId="16" fillId="10" borderId="4" xfId="0" applyFont="1" applyFill="1" applyBorder="1" applyAlignment="1">
      <alignment horizontal="left"/>
    </xf>
    <xf numFmtId="0" fontId="16" fillId="10" borderId="0" xfId="0" applyFont="1" applyFill="1" applyBorder="1" applyAlignment="1">
      <alignment horizontal="left"/>
    </xf>
    <xf numFmtId="0" fontId="20" fillId="0" borderId="4" xfId="0" applyFont="1" applyBorder="1" applyAlignment="1">
      <alignment vertical="center"/>
    </xf>
    <xf numFmtId="0" fontId="22" fillId="0" borderId="5" xfId="0" applyFont="1" applyBorder="1" applyAlignment="1">
      <alignment horizontal="center"/>
    </xf>
    <xf numFmtId="15" fontId="3" fillId="0" borderId="4" xfId="0" applyNumberFormat="1" applyFont="1" applyBorder="1" applyAlignment="1">
      <alignment horizontal="center"/>
    </xf>
    <xf numFmtId="0" fontId="16" fillId="3" borderId="8" xfId="0" applyFont="1" applyFill="1" applyBorder="1" applyAlignment="1"/>
    <xf numFmtId="0" fontId="16" fillId="3" borderId="10" xfId="0" applyFont="1" applyFill="1" applyBorder="1" applyAlignment="1"/>
    <xf numFmtId="0" fontId="16" fillId="3" borderId="9" xfId="0" applyFont="1" applyFill="1" applyBorder="1" applyAlignment="1"/>
    <xf numFmtId="4" fontId="2" fillId="0" borderId="13" xfId="0" applyNumberFormat="1" applyFont="1" applyBorder="1" applyAlignment="1">
      <alignment horizontal="center"/>
    </xf>
    <xf numFmtId="0" fontId="29" fillId="0" borderId="49" xfId="0" applyFont="1" applyBorder="1" applyAlignment="1">
      <alignment vertical="center"/>
    </xf>
    <xf numFmtId="0" fontId="29" fillId="0" borderId="38" xfId="0" applyFont="1" applyBorder="1" applyAlignment="1">
      <alignment vertical="center"/>
    </xf>
    <xf numFmtId="0" fontId="29" fillId="0" borderId="38" xfId="0" applyFont="1" applyBorder="1" applyAlignment="1">
      <alignment vertical="center" wrapText="1"/>
    </xf>
    <xf numFmtId="0" fontId="29" fillId="0" borderId="39" xfId="0" applyFont="1" applyBorder="1" applyAlignment="1">
      <alignment horizontal="center" vertical="center" wrapText="1"/>
    </xf>
    <xf numFmtId="0" fontId="28" fillId="0" borderId="32" xfId="0" applyFont="1" applyBorder="1" applyAlignment="1">
      <alignment horizontal="center" vertical="center"/>
    </xf>
    <xf numFmtId="0" fontId="25" fillId="0" borderId="33" xfId="0" applyFont="1" applyBorder="1" applyAlignment="1">
      <alignment horizontal="center"/>
    </xf>
    <xf numFmtId="0" fontId="9" fillId="0" borderId="14" xfId="0" applyFont="1" applyBorder="1" applyAlignment="1">
      <alignment horizontal="left"/>
    </xf>
    <xf numFmtId="4" fontId="2" fillId="0" borderId="13" xfId="0" applyNumberFormat="1" applyFont="1" applyBorder="1" applyAlignment="1">
      <alignment horizontal="right"/>
    </xf>
    <xf numFmtId="3" fontId="2" fillId="0" borderId="0" xfId="0" quotePrefix="1" applyNumberFormat="1" applyFont="1" applyBorder="1" applyAlignment="1">
      <alignment horizontal="right"/>
    </xf>
    <xf numFmtId="9" fontId="0" fillId="0" borderId="10" xfId="1" applyFont="1" applyBorder="1"/>
    <xf numFmtId="0" fontId="26" fillId="0" borderId="7" xfId="0" quotePrefix="1" applyFont="1" applyBorder="1" applyAlignment="1">
      <alignment horizontal="center" vertical="center"/>
    </xf>
    <xf numFmtId="0" fontId="27" fillId="0" borderId="28" xfId="0" applyFont="1" applyBorder="1" applyAlignment="1">
      <alignment horizontal="center"/>
    </xf>
    <xf numFmtId="0" fontId="24" fillId="0" borderId="50" xfId="0" applyFont="1" applyBorder="1" applyAlignment="1">
      <alignment vertical="center"/>
    </xf>
    <xf numFmtId="0" fontId="33" fillId="0" borderId="50" xfId="0" applyFont="1" applyBorder="1" applyAlignment="1">
      <alignment vertical="center"/>
    </xf>
    <xf numFmtId="0" fontId="33" fillId="0" borderId="7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4" fillId="0" borderId="7" xfId="0" quotePrefix="1" applyFont="1" applyBorder="1" applyAlignment="1">
      <alignment horizontal="center" vertical="top"/>
    </xf>
    <xf numFmtId="0" fontId="33" fillId="0" borderId="50" xfId="0" applyFont="1" applyBorder="1" applyAlignment="1">
      <alignment vertical="top"/>
    </xf>
    <xf numFmtId="0" fontId="33" fillId="0" borderId="7" xfId="0" applyFont="1" applyBorder="1" applyAlignment="1">
      <alignment vertical="top"/>
    </xf>
    <xf numFmtId="43" fontId="25" fillId="0" borderId="7" xfId="3" applyFont="1" applyBorder="1" applyAlignment="1">
      <alignment vertical="top"/>
    </xf>
    <xf numFmtId="0" fontId="25" fillId="0" borderId="28" xfId="0" applyFont="1" applyBorder="1" applyAlignment="1">
      <alignment horizontal="center" vertical="top"/>
    </xf>
    <xf numFmtId="0" fontId="25" fillId="0" borderId="7" xfId="0" quotePrefix="1" applyFont="1" applyBorder="1" applyAlignment="1">
      <alignment horizontal="center" vertical="top"/>
    </xf>
    <xf numFmtId="0" fontId="28" fillId="0" borderId="32" xfId="0" quotePrefix="1" applyFont="1" applyBorder="1" applyAlignment="1">
      <alignment horizontal="center" vertical="center"/>
    </xf>
    <xf numFmtId="0" fontId="33" fillId="0" borderId="51" xfId="0" applyFont="1" applyBorder="1" applyAlignment="1">
      <alignment vertical="center"/>
    </xf>
    <xf numFmtId="0" fontId="33" fillId="0" borderId="32" xfId="0" applyFont="1" applyBorder="1" applyAlignment="1">
      <alignment vertical="center"/>
    </xf>
    <xf numFmtId="43" fontId="25" fillId="0" borderId="32" xfId="3" applyFont="1" applyBorder="1" applyAlignment="1">
      <alignment horizontal="center" vertical="center"/>
    </xf>
    <xf numFmtId="0" fontId="31" fillId="0" borderId="3" xfId="0" applyFont="1" applyBorder="1" applyAlignment="1">
      <alignment horizontal="left" vertical="center"/>
    </xf>
    <xf numFmtId="0" fontId="31" fillId="0" borderId="10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6" fillId="3" borderId="54" xfId="0" applyFont="1" applyFill="1" applyBorder="1" applyAlignment="1">
      <alignment horizontal="center"/>
    </xf>
    <xf numFmtId="0" fontId="16" fillId="3" borderId="9" xfId="0" applyFont="1" applyFill="1" applyBorder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16" fillId="3" borderId="10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16" fillId="3" borderId="4" xfId="0" applyFont="1" applyFill="1" applyBorder="1" applyAlignment="1">
      <alignment horizontal="left"/>
    </xf>
    <xf numFmtId="0" fontId="16" fillId="3" borderId="0" xfId="0" applyFont="1" applyFill="1" applyBorder="1" applyAlignment="1">
      <alignment horizontal="left"/>
    </xf>
    <xf numFmtId="0" fontId="16" fillId="3" borderId="1" xfId="0" applyFont="1" applyFill="1" applyBorder="1" applyAlignment="1">
      <alignment horizontal="left"/>
    </xf>
    <xf numFmtId="0" fontId="16" fillId="3" borderId="3" xfId="0" applyFont="1" applyFill="1" applyBorder="1" applyAlignment="1">
      <alignment horizontal="left"/>
    </xf>
    <xf numFmtId="0" fontId="32" fillId="0" borderId="3" xfId="0" applyFont="1" applyBorder="1" applyAlignment="1">
      <alignment horizontal="center" vertical="center"/>
    </xf>
    <xf numFmtId="0" fontId="32" fillId="0" borderId="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3" fillId="0" borderId="0" xfId="0" applyFont="1" applyBorder="1" applyAlignment="1">
      <alignment horizontal="center" vertical="center"/>
    </xf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6" fillId="0" borderId="52" xfId="0" applyFont="1" applyBorder="1" applyAlignment="1"/>
    <xf numFmtId="0" fontId="0" fillId="0" borderId="13" xfId="0" applyBorder="1" applyAlignment="1"/>
    <xf numFmtId="0" fontId="16" fillId="3" borderId="55" xfId="0" applyFont="1" applyFill="1" applyBorder="1" applyAlignment="1">
      <alignment horizontal="left"/>
    </xf>
    <xf numFmtId="0" fontId="16" fillId="3" borderId="56" xfId="0" applyFont="1" applyFill="1" applyBorder="1" applyAlignment="1">
      <alignment horizontal="left"/>
    </xf>
    <xf numFmtId="0" fontId="6" fillId="0" borderId="0" xfId="0" applyFont="1" applyBorder="1" applyAlignment="1">
      <alignment horizontal="left"/>
    </xf>
    <xf numFmtId="43" fontId="2" fillId="0" borderId="0" xfId="3" applyFont="1" applyFill="1" applyBorder="1" applyAlignment="1">
      <alignment vertical="center"/>
    </xf>
    <xf numFmtId="14" fontId="6" fillId="0" borderId="0" xfId="0" applyNumberFormat="1" applyFont="1" applyBorder="1" applyAlignment="1">
      <alignment horizontal="left"/>
    </xf>
    <xf numFmtId="43" fontId="2" fillId="0" borderId="0" xfId="3" applyFont="1" applyBorder="1" applyAlignment="1">
      <alignment vertical="center"/>
    </xf>
    <xf numFmtId="0" fontId="0" fillId="0" borderId="52" xfId="0" applyBorder="1" applyAlignment="1"/>
    <xf numFmtId="0" fontId="23" fillId="0" borderId="4" xfId="0" applyFont="1" applyBorder="1" applyAlignment="1">
      <alignment horizontal="center"/>
    </xf>
    <xf numFmtId="0" fontId="23" fillId="0" borderId="0" xfId="0" applyFont="1" applyBorder="1" applyAlignment="1">
      <alignment horizontal="center"/>
    </xf>
    <xf numFmtId="0" fontId="2" fillId="5" borderId="47" xfId="0" applyFont="1" applyFill="1" applyBorder="1" applyAlignment="1">
      <alignment horizontal="left"/>
    </xf>
    <xf numFmtId="0" fontId="2" fillId="5" borderId="48" xfId="0" applyFont="1" applyFill="1" applyBorder="1" applyAlignment="1">
      <alignment horizontal="left"/>
    </xf>
    <xf numFmtId="2" fontId="0" fillId="5" borderId="47" xfId="0" applyNumberFormat="1" applyFill="1" applyBorder="1" applyAlignment="1">
      <alignment horizontal="center"/>
    </xf>
    <xf numFmtId="2" fontId="0" fillId="5" borderId="48" xfId="0" applyNumberFormat="1" applyFill="1" applyBorder="1" applyAlignment="1">
      <alignment horizontal="center"/>
    </xf>
    <xf numFmtId="0" fontId="0" fillId="5" borderId="47" xfId="0" applyFill="1" applyBorder="1" applyAlignment="1">
      <alignment horizontal="center"/>
    </xf>
    <xf numFmtId="0" fontId="0" fillId="5" borderId="48" xfId="0" applyFill="1" applyBorder="1" applyAlignment="1">
      <alignment horizontal="center"/>
    </xf>
    <xf numFmtId="0" fontId="11" fillId="4" borderId="20" xfId="0" applyFont="1" applyFill="1" applyBorder="1" applyAlignment="1">
      <alignment horizontal="center"/>
    </xf>
    <xf numFmtId="0" fontId="11" fillId="4" borderId="11" xfId="0" applyFont="1" applyFill="1" applyBorder="1" applyAlignment="1">
      <alignment horizontal="center"/>
    </xf>
    <xf numFmtId="0" fontId="11" fillId="4" borderId="12" xfId="0" applyFont="1" applyFill="1" applyBorder="1" applyAlignment="1">
      <alignment horizontal="center"/>
    </xf>
    <xf numFmtId="0" fontId="13" fillId="2" borderId="44" xfId="0" applyFont="1" applyFill="1" applyBorder="1" applyAlignment="1" applyProtection="1">
      <alignment horizontal="left"/>
      <protection locked="0"/>
    </xf>
    <xf numFmtId="0" fontId="13" fillId="2" borderId="45" xfId="0" applyFont="1" applyFill="1" applyBorder="1" applyAlignment="1" applyProtection="1">
      <alignment horizontal="left"/>
      <protection locked="0"/>
    </xf>
    <xf numFmtId="0" fontId="13" fillId="2" borderId="46" xfId="0" applyFont="1" applyFill="1" applyBorder="1" applyAlignment="1" applyProtection="1">
      <alignment horizontal="left"/>
      <protection locked="0"/>
    </xf>
    <xf numFmtId="4" fontId="0" fillId="5" borderId="47" xfId="0" applyNumberFormat="1" applyFill="1" applyBorder="1" applyAlignment="1">
      <alignment horizontal="center"/>
    </xf>
    <xf numFmtId="4" fontId="7" fillId="5" borderId="47" xfId="0" applyNumberFormat="1" applyFont="1" applyFill="1" applyBorder="1" applyAlignment="1">
      <alignment horizontal="center"/>
    </xf>
    <xf numFmtId="0" fontId="7" fillId="5" borderId="48" xfId="0" applyFont="1" applyFill="1" applyBorder="1" applyAlignment="1">
      <alignment horizontal="center"/>
    </xf>
    <xf numFmtId="0" fontId="16" fillId="3" borderId="1" xfId="0" applyFont="1" applyFill="1" applyBorder="1" applyAlignment="1">
      <alignment horizontal="center"/>
    </xf>
    <xf numFmtId="0" fontId="16" fillId="3" borderId="3" xfId="0" applyFont="1" applyFill="1" applyBorder="1" applyAlignment="1">
      <alignment horizontal="center"/>
    </xf>
    <xf numFmtId="0" fontId="16" fillId="3" borderId="2" xfId="0" applyFont="1" applyFill="1" applyBorder="1" applyAlignment="1">
      <alignment horizontal="center"/>
    </xf>
  </cellXfs>
  <cellStyles count="4">
    <cellStyle name="Milliers" xfId="3" builtinId="3"/>
    <cellStyle name="Milliers 2" xfId="2" xr:uid="{00000000-0005-0000-0000-000000000000}"/>
    <cellStyle name="Normal" xfId="0" builtinId="0"/>
    <cellStyle name="Pourcentage" xfId="1" builtinId="5"/>
  </cellStyles>
  <dxfs count="0"/>
  <tableStyles count="0" defaultTableStyle="TableStyleMedium9" defaultPivotStyle="PivotStyleLight16"/>
  <colors>
    <mruColors>
      <color rgb="FF005C2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461D3-1B5F-4009-AD76-08CD018EB913}">
  <dimension ref="A1:V75"/>
  <sheetViews>
    <sheetView showGridLines="0" tabSelected="1" zoomScale="88" zoomScaleNormal="88" workbookViewId="0">
      <selection activeCell="A8" sqref="A8:B8"/>
    </sheetView>
  </sheetViews>
  <sheetFormatPr baseColWidth="10" defaultColWidth="11.42578125" defaultRowHeight="12.75" x14ac:dyDescent="0.2"/>
  <cols>
    <col min="1" max="1" width="13.5703125" customWidth="1"/>
    <col min="2" max="2" width="18.85546875" customWidth="1"/>
    <col min="3" max="3" width="9.28515625" customWidth="1"/>
    <col min="4" max="4" width="9" customWidth="1"/>
    <col min="5" max="5" width="10.42578125" customWidth="1"/>
    <col min="6" max="6" width="9.85546875" customWidth="1"/>
    <col min="7" max="7" width="10.85546875" customWidth="1"/>
    <col min="8" max="8" width="9.7109375" customWidth="1"/>
    <col min="9" max="9" width="17.140625" customWidth="1"/>
    <col min="10" max="10" width="14.42578125" customWidth="1"/>
  </cols>
  <sheetData>
    <row r="1" spans="1:12" ht="13.5" thickBot="1" x14ac:dyDescent="0.25"/>
    <row r="2" spans="1:12" ht="3" customHeight="1" x14ac:dyDescent="0.2">
      <c r="A2" s="57"/>
      <c r="B2" s="226" t="s">
        <v>168</v>
      </c>
      <c r="C2" s="227"/>
      <c r="D2" s="227"/>
      <c r="E2" s="227"/>
      <c r="F2" s="227"/>
      <c r="G2" s="227"/>
      <c r="H2" s="227"/>
      <c r="I2" s="228"/>
    </row>
    <row r="3" spans="1:12" ht="12.95" customHeight="1" x14ac:dyDescent="0.2">
      <c r="A3" s="58"/>
      <c r="B3" s="229"/>
      <c r="C3" s="230"/>
      <c r="D3" s="230"/>
      <c r="E3" s="230"/>
      <c r="F3" s="230"/>
      <c r="G3" s="230"/>
      <c r="H3" s="230"/>
      <c r="I3" s="231"/>
    </row>
    <row r="4" spans="1:12" ht="12.6" customHeight="1" x14ac:dyDescent="0.2">
      <c r="A4" s="193">
        <f ca="1">TODAY()</f>
        <v>46125</v>
      </c>
      <c r="B4" s="229"/>
      <c r="C4" s="230"/>
      <c r="D4" s="230"/>
      <c r="E4" s="230"/>
      <c r="F4" s="230"/>
      <c r="G4" s="230"/>
      <c r="H4" s="230"/>
      <c r="I4" s="231"/>
    </row>
    <row r="5" spans="1:12" ht="12.95" customHeight="1" x14ac:dyDescent="0.2">
      <c r="A5" s="59"/>
      <c r="B5" s="229"/>
      <c r="C5" s="230"/>
      <c r="D5" s="230"/>
      <c r="E5" s="230"/>
      <c r="F5" s="230"/>
      <c r="G5" s="230"/>
      <c r="H5" s="230"/>
      <c r="I5" s="231"/>
      <c r="L5" s="8"/>
    </row>
    <row r="6" spans="1:12" ht="3" customHeight="1" thickBot="1" x14ac:dyDescent="0.25">
      <c r="A6" s="60"/>
      <c r="B6" s="232"/>
      <c r="C6" s="233"/>
      <c r="D6" s="233"/>
      <c r="E6" s="233"/>
      <c r="F6" s="233"/>
      <c r="G6" s="233"/>
      <c r="H6" s="233"/>
      <c r="I6" s="234"/>
    </row>
    <row r="7" spans="1:12" ht="13.5" thickBot="1" x14ac:dyDescent="0.25">
      <c r="A7" s="235" t="s">
        <v>154</v>
      </c>
      <c r="B7" s="236"/>
      <c r="C7" s="237" t="s">
        <v>155</v>
      </c>
      <c r="D7" s="238"/>
      <c r="E7" s="238"/>
      <c r="F7" s="236"/>
      <c r="G7" s="194"/>
      <c r="H7" s="195" t="s">
        <v>157</v>
      </c>
      <c r="I7" s="196"/>
      <c r="J7" s="141"/>
    </row>
    <row r="8" spans="1:12" x14ac:dyDescent="0.2">
      <c r="A8" s="239" t="s">
        <v>134</v>
      </c>
      <c r="B8" s="241"/>
      <c r="C8" s="239" t="s">
        <v>156</v>
      </c>
      <c r="D8" s="240"/>
      <c r="E8" s="240"/>
      <c r="F8" s="241"/>
      <c r="G8" s="239" t="s">
        <v>158</v>
      </c>
      <c r="H8" s="240"/>
      <c r="I8" s="241"/>
      <c r="J8" s="146"/>
    </row>
    <row r="9" spans="1:12" x14ac:dyDescent="0.2">
      <c r="A9" s="154"/>
      <c r="B9" s="156"/>
      <c r="C9" s="154"/>
      <c r="D9" s="155"/>
      <c r="E9" s="155"/>
      <c r="F9" s="156"/>
      <c r="G9" s="154"/>
      <c r="H9" s="155"/>
      <c r="I9" s="156"/>
      <c r="J9" s="146"/>
    </row>
    <row r="10" spans="1:12" x14ac:dyDescent="0.2">
      <c r="A10" s="154"/>
      <c r="B10" s="156"/>
      <c r="C10" s="154"/>
      <c r="D10" s="155"/>
      <c r="E10" s="155"/>
      <c r="F10" s="156"/>
      <c r="G10" s="154"/>
      <c r="H10" s="155"/>
      <c r="I10" s="156"/>
      <c r="J10" s="146"/>
    </row>
    <row r="11" spans="1:12" x14ac:dyDescent="0.2">
      <c r="A11" s="154"/>
      <c r="B11" s="156"/>
      <c r="C11" s="154"/>
      <c r="D11" s="155"/>
      <c r="E11" s="155"/>
      <c r="F11" s="156"/>
      <c r="G11" s="154"/>
      <c r="H11" s="155"/>
      <c r="I11" s="156"/>
      <c r="J11" s="146"/>
    </row>
    <row r="12" spans="1:12" ht="13.5" thickBot="1" x14ac:dyDescent="0.25">
      <c r="A12" s="157"/>
      <c r="B12" s="159"/>
      <c r="C12" s="157"/>
      <c r="D12" s="158"/>
      <c r="E12" s="158"/>
      <c r="F12" s="159"/>
      <c r="G12" s="157"/>
      <c r="H12" s="158"/>
      <c r="I12" s="159"/>
      <c r="J12" s="146"/>
    </row>
    <row r="13" spans="1:12" x14ac:dyDescent="0.2">
      <c r="A13" s="242" t="s">
        <v>167</v>
      </c>
      <c r="B13" s="243"/>
      <c r="C13" s="187"/>
      <c r="D13" s="141"/>
      <c r="E13" s="141"/>
      <c r="F13" s="141"/>
      <c r="G13" s="141"/>
      <c r="H13" s="141"/>
      <c r="I13" s="4"/>
    </row>
    <row r="14" spans="1:12" ht="15" x14ac:dyDescent="0.25">
      <c r="A14" s="213" t="s">
        <v>170</v>
      </c>
      <c r="B14" s="182"/>
      <c r="C14" s="145" t="s">
        <v>172</v>
      </c>
      <c r="D14" s="141"/>
      <c r="E14" s="151"/>
      <c r="F14" s="141"/>
      <c r="G14" s="141"/>
      <c r="H14" s="141"/>
      <c r="I14" s="4"/>
    </row>
    <row r="15" spans="1:12" x14ac:dyDescent="0.2">
      <c r="A15" s="16"/>
      <c r="B15" s="144"/>
      <c r="C15" s="141"/>
      <c r="D15" s="141"/>
      <c r="E15" s="141"/>
      <c r="F15" s="141"/>
      <c r="G15" s="141"/>
      <c r="H15" s="141"/>
      <c r="I15" s="4"/>
    </row>
    <row r="16" spans="1:12" x14ac:dyDescent="0.2">
      <c r="A16" s="251" t="s">
        <v>163</v>
      </c>
      <c r="B16" s="252"/>
      <c r="C16" s="145" t="s">
        <v>173</v>
      </c>
      <c r="D16" s="141"/>
      <c r="E16" s="149"/>
      <c r="F16" s="141"/>
      <c r="G16" s="141"/>
      <c r="H16" s="141"/>
      <c r="I16" s="4"/>
    </row>
    <row r="17" spans="1:16" x14ac:dyDescent="0.2">
      <c r="A17" s="143"/>
      <c r="B17" s="153"/>
      <c r="C17" s="145"/>
      <c r="D17" s="141"/>
      <c r="E17" s="149"/>
      <c r="F17" s="141"/>
      <c r="G17" s="141"/>
      <c r="H17" s="141"/>
      <c r="I17" s="4"/>
    </row>
    <row r="18" spans="1:16" x14ac:dyDescent="0.2">
      <c r="A18" s="143" t="s">
        <v>169</v>
      </c>
      <c r="B18" s="153"/>
      <c r="C18" s="145" t="s">
        <v>174</v>
      </c>
      <c r="D18" s="141"/>
      <c r="E18" s="149"/>
      <c r="F18" s="141"/>
      <c r="G18" s="141"/>
      <c r="H18" s="141"/>
      <c r="I18" s="4"/>
    </row>
    <row r="19" spans="1:16" x14ac:dyDescent="0.2">
      <c r="A19" s="16"/>
      <c r="B19" s="144"/>
      <c r="C19" s="145"/>
      <c r="D19" s="141"/>
      <c r="E19" s="149"/>
      <c r="F19" s="141"/>
      <c r="G19" s="141"/>
      <c r="H19" s="141"/>
      <c r="I19" s="4"/>
    </row>
    <row r="20" spans="1:16" x14ac:dyDescent="0.2">
      <c r="A20" s="251" t="s">
        <v>147</v>
      </c>
      <c r="B20" s="252"/>
      <c r="C20" s="145" t="s">
        <v>146</v>
      </c>
      <c r="D20" s="141"/>
      <c r="E20" s="149"/>
      <c r="F20" s="145"/>
      <c r="G20" s="141"/>
      <c r="H20" s="141"/>
      <c r="I20" s="4"/>
    </row>
    <row r="21" spans="1:16" ht="15" customHeight="1" thickBot="1" x14ac:dyDescent="0.25">
      <c r="A21" s="16"/>
      <c r="B21" s="144"/>
      <c r="C21" s="141"/>
      <c r="D21" s="141"/>
      <c r="E21" s="141"/>
      <c r="F21" s="141"/>
      <c r="G21" s="141"/>
      <c r="H21" s="141"/>
      <c r="I21" s="4"/>
      <c r="K21" s="51" t="s">
        <v>14</v>
      </c>
      <c r="L21" s="51"/>
      <c r="M21" s="51">
        <v>91</v>
      </c>
      <c r="N21" s="51" t="s">
        <v>15</v>
      </c>
      <c r="O21" s="52">
        <v>1</v>
      </c>
      <c r="P21" s="51">
        <f>M21*O21</f>
        <v>91</v>
      </c>
    </row>
    <row r="22" spans="1:16" ht="15" customHeight="1" x14ac:dyDescent="0.2">
      <c r="A22" s="244" t="s">
        <v>166</v>
      </c>
      <c r="B22" s="245"/>
      <c r="C22" s="245"/>
      <c r="D22" s="246"/>
      <c r="E22" s="246"/>
      <c r="F22" s="246"/>
      <c r="G22" s="246"/>
      <c r="H22" s="246"/>
      <c r="I22" s="1"/>
      <c r="K22" s="51" t="s">
        <v>17</v>
      </c>
      <c r="L22" s="51"/>
      <c r="M22" s="51">
        <v>127</v>
      </c>
      <c r="N22" s="51" t="s">
        <v>15</v>
      </c>
      <c r="O22" s="52">
        <v>0</v>
      </c>
      <c r="P22" s="51">
        <f t="shared" ref="P22" si="0">M22*O22</f>
        <v>0</v>
      </c>
    </row>
    <row r="23" spans="1:16" ht="15" customHeight="1" x14ac:dyDescent="0.2">
      <c r="A23" s="189"/>
      <c r="B23" s="190"/>
      <c r="C23" s="190"/>
      <c r="D23" s="247"/>
      <c r="E23" s="247"/>
      <c r="F23" s="247"/>
      <c r="G23" s="247"/>
      <c r="H23" s="247"/>
      <c r="I23" s="4"/>
      <c r="K23" s="51"/>
      <c r="L23" s="51"/>
      <c r="M23" s="51"/>
      <c r="N23" s="51"/>
      <c r="O23" s="188"/>
      <c r="P23" s="51"/>
    </row>
    <row r="24" spans="1:16" ht="15" customHeight="1" thickBot="1" x14ac:dyDescent="0.25">
      <c r="A24" s="18"/>
      <c r="B24" s="20"/>
      <c r="C24" s="11"/>
      <c r="D24" s="248"/>
      <c r="E24" s="248"/>
      <c r="F24" s="248"/>
      <c r="G24" s="248"/>
      <c r="H24" s="248"/>
      <c r="I24" s="12"/>
    </row>
    <row r="25" spans="1:16" ht="15" customHeight="1" x14ac:dyDescent="0.2">
      <c r="A25" s="244" t="s">
        <v>18</v>
      </c>
      <c r="B25" s="245"/>
      <c r="C25" s="245"/>
      <c r="D25" s="21"/>
      <c r="E25" s="3"/>
      <c r="F25" s="3"/>
      <c r="G25" s="3"/>
      <c r="H25" s="3"/>
      <c r="I25" s="1"/>
      <c r="K25" s="29" t="s">
        <v>19</v>
      </c>
      <c r="M25">
        <v>130</v>
      </c>
      <c r="N25" s="29" t="s">
        <v>20</v>
      </c>
      <c r="O25" s="49">
        <v>0</v>
      </c>
      <c r="P25">
        <f t="shared" ref="P25:P30" si="1">M25*O25</f>
        <v>0</v>
      </c>
    </row>
    <row r="26" spans="1:16" ht="15" customHeight="1" x14ac:dyDescent="0.2">
      <c r="A26" s="5"/>
      <c r="B26" s="152" t="s">
        <v>134</v>
      </c>
      <c r="C26" s="141"/>
      <c r="D26" s="141"/>
      <c r="E26" s="145" t="s">
        <v>22</v>
      </c>
      <c r="F26" s="141"/>
      <c r="G26" s="141"/>
      <c r="H26" s="141"/>
      <c r="I26" s="4"/>
      <c r="K26" s="29" t="s">
        <v>21</v>
      </c>
      <c r="M26">
        <v>110</v>
      </c>
      <c r="N26" s="29" t="s">
        <v>20</v>
      </c>
      <c r="O26" s="49">
        <v>1</v>
      </c>
      <c r="P26">
        <f t="shared" si="1"/>
        <v>110</v>
      </c>
    </row>
    <row r="27" spans="1:16" ht="15" customHeight="1" x14ac:dyDescent="0.2">
      <c r="A27" s="5"/>
      <c r="B27" s="152" t="s">
        <v>175</v>
      </c>
      <c r="C27" s="141"/>
      <c r="D27" s="141"/>
      <c r="E27" s="145" t="s">
        <v>22</v>
      </c>
      <c r="F27" s="141"/>
      <c r="G27" s="141"/>
      <c r="H27" s="141"/>
      <c r="I27" s="4"/>
      <c r="K27" s="29" t="s">
        <v>23</v>
      </c>
      <c r="M27">
        <v>70</v>
      </c>
      <c r="N27" s="29" t="s">
        <v>20</v>
      </c>
      <c r="O27" s="49">
        <v>0</v>
      </c>
      <c r="P27">
        <f t="shared" si="1"/>
        <v>0</v>
      </c>
    </row>
    <row r="28" spans="1:16" ht="15" customHeight="1" x14ac:dyDescent="0.2">
      <c r="A28" s="5"/>
      <c r="B28" s="152" t="s">
        <v>176</v>
      </c>
      <c r="C28" s="141"/>
      <c r="D28" s="141"/>
      <c r="E28" s="145" t="s">
        <v>22</v>
      </c>
      <c r="F28" s="141"/>
      <c r="G28" s="141"/>
      <c r="H28" s="141"/>
      <c r="I28" s="4"/>
      <c r="K28" s="29" t="s">
        <v>24</v>
      </c>
      <c r="M28">
        <v>72</v>
      </c>
      <c r="N28" s="29" t="s">
        <v>20</v>
      </c>
      <c r="O28" s="49">
        <v>0</v>
      </c>
      <c r="P28">
        <f t="shared" si="1"/>
        <v>0</v>
      </c>
    </row>
    <row r="29" spans="1:16" ht="15" customHeight="1" x14ac:dyDescent="0.2">
      <c r="A29" s="5"/>
      <c r="B29" s="152" t="s">
        <v>135</v>
      </c>
      <c r="C29" s="141"/>
      <c r="D29" s="141"/>
      <c r="E29" s="145" t="s">
        <v>22</v>
      </c>
      <c r="F29" s="141"/>
      <c r="G29" s="141"/>
      <c r="H29" s="141"/>
      <c r="I29" s="4"/>
      <c r="K29" s="29" t="s">
        <v>25</v>
      </c>
      <c r="M29">
        <v>64</v>
      </c>
      <c r="N29" s="29" t="s">
        <v>20</v>
      </c>
      <c r="O29" s="49">
        <v>0</v>
      </c>
      <c r="P29">
        <f t="shared" si="1"/>
        <v>0</v>
      </c>
    </row>
    <row r="30" spans="1:16" ht="15" customHeight="1" x14ac:dyDescent="0.2">
      <c r="A30" s="5"/>
      <c r="B30" s="152"/>
      <c r="C30" s="141"/>
      <c r="D30" s="141"/>
      <c r="E30" s="145"/>
      <c r="F30" s="141"/>
      <c r="G30" s="141"/>
      <c r="H30" s="141"/>
      <c r="I30" s="4"/>
      <c r="K30" s="29" t="s">
        <v>26</v>
      </c>
      <c r="M30">
        <v>50</v>
      </c>
      <c r="N30" s="29" t="s">
        <v>20</v>
      </c>
      <c r="O30" s="49">
        <v>0</v>
      </c>
      <c r="P30">
        <f t="shared" si="1"/>
        <v>0</v>
      </c>
    </row>
    <row r="31" spans="1:16" ht="15" customHeight="1" thickBot="1" x14ac:dyDescent="0.25">
      <c r="A31" s="18"/>
      <c r="B31" s="152"/>
      <c r="C31" s="11"/>
      <c r="D31" s="11"/>
      <c r="E31" s="11"/>
      <c r="F31" s="11"/>
      <c r="G31" s="11"/>
      <c r="H31" s="11"/>
      <c r="I31" s="12"/>
    </row>
    <row r="32" spans="1:16" x14ac:dyDescent="0.2">
      <c r="A32" s="63" t="s">
        <v>145</v>
      </c>
      <c r="B32" s="69"/>
      <c r="C32" s="70"/>
      <c r="D32" s="3"/>
      <c r="E32" s="3"/>
      <c r="F32" s="3"/>
      <c r="G32" s="3"/>
      <c r="H32" s="3"/>
      <c r="I32" s="1"/>
      <c r="K32" s="29" t="s">
        <v>28</v>
      </c>
      <c r="M32">
        <v>22</v>
      </c>
      <c r="N32" s="29" t="s">
        <v>29</v>
      </c>
      <c r="O32" s="50">
        <f>22*(O21*P21+O22*P22+2*(P25+P26+P27+P28+P29+P30))</f>
        <v>6842</v>
      </c>
      <c r="P32" s="53" t="s">
        <v>30</v>
      </c>
    </row>
    <row r="33" spans="1:22" x14ac:dyDescent="0.2">
      <c r="A33" s="16"/>
      <c r="B33" s="152" t="s">
        <v>149</v>
      </c>
      <c r="C33" s="141"/>
      <c r="D33" s="141"/>
      <c r="E33" s="257" t="s">
        <v>133</v>
      </c>
      <c r="F33" s="257"/>
      <c r="G33" s="160"/>
      <c r="H33" s="141"/>
      <c r="I33" s="4"/>
      <c r="O33" s="29"/>
    </row>
    <row r="34" spans="1:22" x14ac:dyDescent="0.2">
      <c r="A34" s="16"/>
      <c r="B34" s="152" t="s">
        <v>148</v>
      </c>
      <c r="C34" s="141"/>
      <c r="D34" s="150"/>
      <c r="E34" s="259">
        <v>45992</v>
      </c>
      <c r="F34" s="259"/>
      <c r="G34" s="160"/>
      <c r="H34" s="141"/>
      <c r="I34" s="4"/>
    </row>
    <row r="35" spans="1:22" x14ac:dyDescent="0.2">
      <c r="A35" s="16"/>
      <c r="B35" s="152" t="s">
        <v>150</v>
      </c>
      <c r="C35" s="141"/>
      <c r="D35" s="141"/>
      <c r="E35" s="257" t="s">
        <v>67</v>
      </c>
      <c r="F35" s="257"/>
      <c r="G35" s="160"/>
      <c r="H35" s="141"/>
      <c r="I35" s="4"/>
    </row>
    <row r="36" spans="1:22" x14ac:dyDescent="0.2">
      <c r="A36" s="16"/>
      <c r="B36" s="152" t="s">
        <v>151</v>
      </c>
      <c r="C36" s="141"/>
      <c r="D36" s="141"/>
      <c r="E36" s="257" t="s">
        <v>143</v>
      </c>
      <c r="F36" s="257"/>
      <c r="G36" s="257"/>
      <c r="H36" s="141"/>
      <c r="I36" s="4"/>
    </row>
    <row r="37" spans="1:22" x14ac:dyDescent="0.2">
      <c r="A37" s="16"/>
      <c r="B37" s="152" t="s">
        <v>152</v>
      </c>
      <c r="C37" s="141"/>
      <c r="D37" s="141"/>
      <c r="E37" s="257" t="s">
        <v>130</v>
      </c>
      <c r="F37" s="257"/>
      <c r="G37" s="257"/>
      <c r="H37" s="141"/>
      <c r="I37" s="4"/>
    </row>
    <row r="38" spans="1:22" ht="15.75" x14ac:dyDescent="0.25">
      <c r="A38" s="16"/>
      <c r="B38" s="152" t="s">
        <v>153</v>
      </c>
      <c r="C38" s="141"/>
      <c r="D38" s="141"/>
      <c r="E38" s="257" t="s">
        <v>129</v>
      </c>
      <c r="F38" s="257"/>
      <c r="G38" s="257"/>
      <c r="H38" s="141"/>
      <c r="I38" s="4"/>
      <c r="Q38" s="25">
        <f>D22</f>
        <v>0</v>
      </c>
    </row>
    <row r="39" spans="1:22" ht="16.5" thickBot="1" x14ac:dyDescent="0.3">
      <c r="A39" s="18"/>
      <c r="B39" s="20"/>
      <c r="C39" s="11"/>
      <c r="D39" s="11"/>
      <c r="E39" s="162"/>
      <c r="F39" s="162"/>
      <c r="G39" s="162"/>
      <c r="H39" s="11"/>
      <c r="I39" s="12"/>
      <c r="Q39" s="25"/>
    </row>
    <row r="40" spans="1:22" x14ac:dyDescent="0.2">
      <c r="A40" s="63" t="s">
        <v>142</v>
      </c>
      <c r="B40" s="69"/>
      <c r="C40" s="70"/>
      <c r="D40" s="3"/>
      <c r="E40" s="3"/>
      <c r="F40" s="255" t="s">
        <v>171</v>
      </c>
      <c r="G40" s="256"/>
      <c r="H40" s="256"/>
      <c r="I40" s="1"/>
    </row>
    <row r="41" spans="1:22" x14ac:dyDescent="0.2">
      <c r="A41" s="5"/>
      <c r="B41" s="144"/>
      <c r="C41" s="141"/>
      <c r="D41" s="141"/>
      <c r="E41" s="141"/>
      <c r="F41" s="253" t="s">
        <v>35</v>
      </c>
      <c r="G41" s="254"/>
      <c r="H41" s="197">
        <v>13100</v>
      </c>
      <c r="I41" s="204" t="s">
        <v>36</v>
      </c>
      <c r="J41" s="50"/>
      <c r="K41" s="105" t="s">
        <v>37</v>
      </c>
      <c r="L41" s="105"/>
      <c r="M41" s="107">
        <f>H41*13.3+(H42+H43+H44)*12+H45</f>
        <v>225830</v>
      </c>
      <c r="N41" s="105" t="s">
        <v>30</v>
      </c>
      <c r="Q41" s="31" t="s">
        <v>35</v>
      </c>
      <c r="R41" s="32"/>
      <c r="S41" s="33">
        <f>H41</f>
        <v>13100</v>
      </c>
      <c r="T41" s="34" t="s">
        <v>39</v>
      </c>
      <c r="V41" s="35"/>
    </row>
    <row r="42" spans="1:22" x14ac:dyDescent="0.2">
      <c r="A42" s="249" t="s">
        <v>159</v>
      </c>
      <c r="B42" s="250"/>
      <c r="C42" s="260">
        <v>14079</v>
      </c>
      <c r="D42" s="260"/>
      <c r="E42" s="141"/>
      <c r="F42" s="261" t="s">
        <v>38</v>
      </c>
      <c r="G42" s="254"/>
      <c r="H42" s="197">
        <v>3000</v>
      </c>
      <c r="I42" s="204" t="s">
        <v>39</v>
      </c>
      <c r="J42" s="50"/>
      <c r="K42" s="106" t="s">
        <v>40</v>
      </c>
      <c r="L42" s="106"/>
      <c r="M42" s="108">
        <f>H41</f>
        <v>13100</v>
      </c>
      <c r="N42" s="106" t="s">
        <v>30</v>
      </c>
      <c r="Q42" s="37" t="s">
        <v>38</v>
      </c>
      <c r="R42" s="35"/>
      <c r="S42" s="33">
        <f t="shared" ref="S42:S43" si="2">H42</f>
        <v>3000</v>
      </c>
      <c r="T42" s="34" t="s">
        <v>39</v>
      </c>
      <c r="V42" s="35"/>
    </row>
    <row r="43" spans="1:22" x14ac:dyDescent="0.2">
      <c r="A43" s="262" t="s">
        <v>177</v>
      </c>
      <c r="B43" s="263"/>
      <c r="C43" s="260">
        <v>3560</v>
      </c>
      <c r="D43" s="260"/>
      <c r="E43" s="141"/>
      <c r="F43" s="147" t="s">
        <v>41</v>
      </c>
      <c r="G43" s="148"/>
      <c r="H43" s="197">
        <v>1300</v>
      </c>
      <c r="I43" s="204" t="s">
        <v>39</v>
      </c>
      <c r="J43" s="50"/>
      <c r="K43" s="29"/>
      <c r="L43" s="29"/>
      <c r="M43" s="50"/>
      <c r="N43" s="29"/>
      <c r="Q43" s="37" t="s">
        <v>41</v>
      </c>
      <c r="R43" s="35"/>
      <c r="S43" s="33">
        <f t="shared" si="2"/>
        <v>1300</v>
      </c>
      <c r="T43" s="34" t="s">
        <v>39</v>
      </c>
      <c r="V43" s="35"/>
    </row>
    <row r="44" spans="1:22" x14ac:dyDescent="0.2">
      <c r="A44" s="262" t="s">
        <v>178</v>
      </c>
      <c r="B44" s="263"/>
      <c r="C44" s="260">
        <v>440</v>
      </c>
      <c r="D44" s="260"/>
      <c r="E44" s="141"/>
      <c r="F44" s="147" t="s">
        <v>125</v>
      </c>
      <c r="G44" s="148"/>
      <c r="H44" s="197">
        <v>0</v>
      </c>
      <c r="I44" s="204" t="s">
        <v>126</v>
      </c>
      <c r="J44" s="50"/>
      <c r="K44" s="109" t="s">
        <v>42</v>
      </c>
      <c r="L44" s="110"/>
      <c r="M44" s="111">
        <f>'Simulateur Mensuel'!D49</f>
        <v>13050.944266666665</v>
      </c>
      <c r="N44" s="109" t="s">
        <v>30</v>
      </c>
      <c r="O44" s="128"/>
      <c r="Q44" s="37"/>
      <c r="R44" s="35"/>
      <c r="S44" s="33"/>
      <c r="T44" s="34"/>
      <c r="V44" s="35"/>
    </row>
    <row r="45" spans="1:22" x14ac:dyDescent="0.2">
      <c r="A45" s="262" t="s">
        <v>125</v>
      </c>
      <c r="B45" s="263"/>
      <c r="C45" s="258">
        <v>750</v>
      </c>
      <c r="D45" s="258"/>
      <c r="E45" s="141"/>
      <c r="F45" s="140" t="s">
        <v>131</v>
      </c>
      <c r="G45" s="139"/>
      <c r="H45" s="197">
        <v>0</v>
      </c>
      <c r="I45" s="204" t="s">
        <v>39</v>
      </c>
      <c r="J45" s="50"/>
      <c r="K45" s="112" t="s">
        <v>43</v>
      </c>
      <c r="L45" s="113"/>
      <c r="M45" s="114">
        <f>M44+O32</f>
        <v>19892.944266666665</v>
      </c>
      <c r="N45" s="112" t="s">
        <v>30</v>
      </c>
      <c r="Q45" s="38"/>
      <c r="R45" s="39"/>
      <c r="S45" s="40"/>
      <c r="T45" s="127"/>
      <c r="V45" s="39"/>
    </row>
    <row r="46" spans="1:22" x14ac:dyDescent="0.2">
      <c r="A46" s="262" t="s">
        <v>160</v>
      </c>
      <c r="B46" s="263"/>
      <c r="C46" s="258">
        <v>14400</v>
      </c>
      <c r="D46" s="258"/>
      <c r="E46" s="141"/>
      <c r="F46" s="5"/>
      <c r="G46" s="141"/>
      <c r="H46" s="142"/>
      <c r="I46" s="4"/>
      <c r="J46" s="50"/>
    </row>
    <row r="47" spans="1:22" x14ac:dyDescent="0.2">
      <c r="A47" s="262"/>
      <c r="B47" s="263"/>
      <c r="C47" s="258"/>
      <c r="D47" s="258"/>
      <c r="E47" s="153"/>
      <c r="F47" s="143" t="s">
        <v>44</v>
      </c>
      <c r="G47" s="141"/>
      <c r="H47" s="205">
        <f>M44</f>
        <v>13050.944266666665</v>
      </c>
      <c r="I47" s="4"/>
      <c r="J47" s="50"/>
    </row>
    <row r="48" spans="1:22" x14ac:dyDescent="0.2">
      <c r="A48" s="262"/>
      <c r="B48" s="263"/>
      <c r="C48" s="258"/>
      <c r="D48" s="258"/>
      <c r="E48" s="153"/>
      <c r="F48" s="143" t="s">
        <v>127</v>
      </c>
      <c r="G48" s="141"/>
      <c r="H48" s="206">
        <f>+O32</f>
        <v>6842</v>
      </c>
      <c r="I48" s="4"/>
      <c r="K48" s="29" t="s">
        <v>45</v>
      </c>
      <c r="L48" s="48"/>
      <c r="M48" s="48">
        <f>(M44*12+H41*1.3*0.62)/12</f>
        <v>13930.827599999999</v>
      </c>
      <c r="N48" t="s">
        <v>30</v>
      </c>
      <c r="Q48" s="109" t="s">
        <v>42</v>
      </c>
      <c r="R48" s="110"/>
      <c r="S48" s="111">
        <f>M44</f>
        <v>13050.944266666665</v>
      </c>
      <c r="T48" s="109" t="s">
        <v>30</v>
      </c>
    </row>
    <row r="49" spans="1:21" x14ac:dyDescent="0.2">
      <c r="A49" s="5"/>
      <c r="B49" s="144"/>
      <c r="C49" s="141"/>
      <c r="D49" s="141"/>
      <c r="E49" s="153"/>
      <c r="F49" s="143" t="s">
        <v>128</v>
      </c>
      <c r="G49" s="141"/>
      <c r="H49" s="206">
        <f>H47+H48</f>
        <v>19892.944266666665</v>
      </c>
      <c r="I49" s="4"/>
      <c r="K49" s="29" t="s">
        <v>46</v>
      </c>
      <c r="L49" s="48"/>
      <c r="M49" s="48">
        <f>O32*11/12</f>
        <v>6271.833333333333</v>
      </c>
      <c r="N49" t="s">
        <v>30</v>
      </c>
    </row>
    <row r="50" spans="1:21" ht="13.5" thickBot="1" x14ac:dyDescent="0.25">
      <c r="A50" s="18"/>
      <c r="B50" s="22"/>
      <c r="C50" s="11"/>
      <c r="D50" s="11"/>
      <c r="E50" s="11"/>
      <c r="F50" s="10"/>
      <c r="G50" s="11"/>
      <c r="H50" s="207">
        <f>(H49-C46)/C46</f>
        <v>0.38145446296296287</v>
      </c>
      <c r="I50" s="12"/>
      <c r="K50" s="29" t="s">
        <v>47</v>
      </c>
      <c r="M50" s="50">
        <f>M48+M49</f>
        <v>20202.660933333333</v>
      </c>
      <c r="N50" s="53" t="s">
        <v>30</v>
      </c>
      <c r="Q50" s="112" t="s">
        <v>144</v>
      </c>
      <c r="R50" s="113"/>
      <c r="S50" s="114">
        <f>O32</f>
        <v>6842</v>
      </c>
      <c r="T50" s="112"/>
    </row>
    <row r="51" spans="1:21" x14ac:dyDescent="0.2">
      <c r="A51" s="244" t="s">
        <v>165</v>
      </c>
      <c r="B51" s="245"/>
      <c r="C51" s="245"/>
      <c r="D51" s="186"/>
      <c r="E51" s="3"/>
      <c r="F51" s="3"/>
      <c r="G51" s="3"/>
      <c r="H51" s="3"/>
      <c r="I51" s="1"/>
      <c r="K51" s="29"/>
      <c r="M51" s="50"/>
      <c r="N51" s="53"/>
      <c r="Q51" s="112"/>
      <c r="R51" s="113"/>
      <c r="S51" s="114"/>
      <c r="T51" s="112"/>
    </row>
    <row r="52" spans="1:21" x14ac:dyDescent="0.2">
      <c r="A52" s="16"/>
      <c r="B52" s="144"/>
      <c r="C52" s="141"/>
      <c r="D52" s="141"/>
      <c r="E52" s="161"/>
      <c r="F52" s="141"/>
      <c r="G52" s="141"/>
      <c r="H52" s="141"/>
      <c r="I52" s="4"/>
      <c r="K52" s="29"/>
      <c r="M52" s="50"/>
      <c r="N52" s="53"/>
      <c r="Q52" s="132" t="s">
        <v>53</v>
      </c>
      <c r="R52" s="113"/>
      <c r="S52" s="114">
        <f>H41</f>
        <v>13100</v>
      </c>
      <c r="T52" s="112" t="s">
        <v>54</v>
      </c>
    </row>
    <row r="53" spans="1:21" ht="13.5" thickBot="1" x14ac:dyDescent="0.25">
      <c r="A53" s="16"/>
      <c r="B53" s="144"/>
      <c r="C53" s="141"/>
      <c r="D53" s="141"/>
      <c r="E53" s="161"/>
      <c r="F53" s="141"/>
      <c r="G53" s="141"/>
      <c r="H53" s="141"/>
      <c r="I53" s="4"/>
      <c r="K53" s="29"/>
      <c r="M53" s="50"/>
      <c r="N53" s="53"/>
      <c r="Q53" s="132"/>
      <c r="R53" s="113"/>
      <c r="S53" s="114"/>
      <c r="T53" s="112"/>
    </row>
    <row r="54" spans="1:21" ht="27" x14ac:dyDescent="0.2">
      <c r="A54" s="198" t="s">
        <v>136</v>
      </c>
      <c r="B54" s="199" t="s">
        <v>137</v>
      </c>
      <c r="C54" s="200" t="s">
        <v>162</v>
      </c>
      <c r="D54" s="199" t="s">
        <v>138</v>
      </c>
      <c r="E54" s="200" t="s">
        <v>140</v>
      </c>
      <c r="F54" s="199" t="s">
        <v>41</v>
      </c>
      <c r="G54" s="200" t="s">
        <v>141</v>
      </c>
      <c r="H54" s="200" t="s">
        <v>161</v>
      </c>
      <c r="I54" s="201" t="s">
        <v>139</v>
      </c>
      <c r="K54" s="29"/>
      <c r="M54" s="50"/>
      <c r="N54" s="53"/>
      <c r="Q54" t="s">
        <v>56</v>
      </c>
      <c r="T54" s="133">
        <v>0.06</v>
      </c>
    </row>
    <row r="55" spans="1:21" x14ac:dyDescent="0.2">
      <c r="A55" s="210"/>
      <c r="B55" s="163"/>
      <c r="C55" s="163"/>
      <c r="D55" s="165"/>
      <c r="E55" s="165"/>
      <c r="F55" s="165"/>
      <c r="G55" s="166"/>
      <c r="H55" s="208"/>
      <c r="I55" s="209"/>
      <c r="K55" s="29"/>
      <c r="M55" s="50"/>
      <c r="N55" s="53"/>
      <c r="Q55" t="s">
        <v>57</v>
      </c>
      <c r="T55" s="133">
        <v>0.85</v>
      </c>
    </row>
    <row r="56" spans="1:21" x14ac:dyDescent="0.2">
      <c r="A56" s="211"/>
      <c r="B56" s="212"/>
      <c r="C56" s="212"/>
      <c r="D56" s="185"/>
      <c r="E56" s="185"/>
      <c r="F56" s="185"/>
      <c r="G56" s="183"/>
      <c r="H56" s="183"/>
      <c r="I56" s="184"/>
      <c r="K56" s="29"/>
      <c r="M56" s="50"/>
      <c r="N56" s="53"/>
      <c r="Q56" t="s">
        <v>58</v>
      </c>
      <c r="T56">
        <v>3000</v>
      </c>
      <c r="U56" t="s">
        <v>59</v>
      </c>
    </row>
    <row r="57" spans="1:21" x14ac:dyDescent="0.2">
      <c r="A57" s="211"/>
      <c r="B57" s="212"/>
      <c r="C57" s="212"/>
      <c r="D57" s="185"/>
      <c r="E57" s="185"/>
      <c r="F57" s="185"/>
      <c r="G57" s="183"/>
      <c r="H57" s="164"/>
      <c r="I57" s="184"/>
      <c r="K57" s="29"/>
      <c r="M57" s="50"/>
      <c r="N57" s="53"/>
      <c r="Q57" t="s">
        <v>60</v>
      </c>
      <c r="T57">
        <v>5000</v>
      </c>
      <c r="U57" t="s">
        <v>61</v>
      </c>
    </row>
    <row r="58" spans="1:21" ht="13.5" customHeight="1" x14ac:dyDescent="0.2">
      <c r="A58" s="215"/>
      <c r="B58" s="212"/>
      <c r="C58" s="216"/>
      <c r="D58" s="217"/>
      <c r="E58" s="217"/>
      <c r="F58" s="217"/>
      <c r="G58" s="214"/>
      <c r="H58" s="219"/>
      <c r="I58" s="218"/>
      <c r="Q58" t="s">
        <v>63</v>
      </c>
      <c r="T58">
        <v>60000</v>
      </c>
      <c r="U58" t="s">
        <v>64</v>
      </c>
    </row>
    <row r="59" spans="1:21" ht="13.5" thickBot="1" x14ac:dyDescent="0.25">
      <c r="A59" s="221"/>
      <c r="B59" s="222"/>
      <c r="C59" s="222"/>
      <c r="D59" s="223"/>
      <c r="E59" s="223"/>
      <c r="F59" s="223"/>
      <c r="G59" s="220"/>
      <c r="H59" s="202"/>
      <c r="I59" s="203"/>
    </row>
    <row r="60" spans="1:21" x14ac:dyDescent="0.2">
      <c r="A60" s="191"/>
      <c r="B60" s="168"/>
      <c r="C60" s="168"/>
      <c r="D60" s="169"/>
      <c r="E60" s="169"/>
      <c r="F60" s="169"/>
      <c r="G60" s="170"/>
      <c r="H60" s="171"/>
      <c r="I60" s="192"/>
    </row>
    <row r="61" spans="1:21" ht="13.5" thickBot="1" x14ac:dyDescent="0.25">
      <c r="A61" s="191"/>
      <c r="B61" s="168"/>
      <c r="C61" s="168"/>
      <c r="D61" s="169"/>
      <c r="E61" s="169"/>
      <c r="F61" s="169"/>
      <c r="G61" s="170"/>
      <c r="H61" s="171"/>
      <c r="I61" s="192"/>
    </row>
    <row r="62" spans="1:21" x14ac:dyDescent="0.2">
      <c r="A62" s="178"/>
      <c r="B62" s="224" t="s">
        <v>164</v>
      </c>
      <c r="C62" s="224"/>
      <c r="D62" s="224"/>
      <c r="E62" s="224"/>
      <c r="F62" s="224"/>
      <c r="G62" s="224"/>
      <c r="H62" s="179"/>
      <c r="I62" s="180"/>
    </row>
    <row r="63" spans="1:21" ht="13.5" thickBot="1" x14ac:dyDescent="0.25">
      <c r="A63" s="176"/>
      <c r="B63" s="225"/>
      <c r="C63" s="225"/>
      <c r="D63" s="225"/>
      <c r="E63" s="225"/>
      <c r="F63" s="225"/>
      <c r="G63" s="225"/>
      <c r="H63" s="181"/>
      <c r="I63" s="177"/>
    </row>
    <row r="64" spans="1:21" x14ac:dyDescent="0.2">
      <c r="A64" s="167"/>
      <c r="B64" s="168"/>
      <c r="C64" s="168"/>
      <c r="D64" s="173"/>
      <c r="E64" s="173"/>
      <c r="F64" s="173"/>
      <c r="G64" s="170"/>
      <c r="H64" s="174"/>
      <c r="I64" s="172"/>
    </row>
    <row r="65" spans="1:9" x14ac:dyDescent="0.2">
      <c r="A65" s="175"/>
      <c r="B65" s="144"/>
      <c r="C65" s="145"/>
      <c r="D65" s="145"/>
      <c r="E65" s="145"/>
      <c r="F65" s="141"/>
      <c r="G65" s="141"/>
      <c r="H65" s="141"/>
      <c r="I65" s="141"/>
    </row>
    <row r="66" spans="1:9" x14ac:dyDescent="0.2">
      <c r="A66" s="141"/>
      <c r="B66" s="144"/>
      <c r="C66" s="145"/>
      <c r="D66" s="145"/>
      <c r="E66" s="145"/>
      <c r="F66" s="141"/>
      <c r="G66" s="141"/>
      <c r="H66" s="141"/>
      <c r="I66" s="141"/>
    </row>
    <row r="67" spans="1:9" x14ac:dyDescent="0.2">
      <c r="A67" s="141"/>
      <c r="B67" s="144"/>
      <c r="C67" s="145"/>
      <c r="D67" s="141"/>
      <c r="E67" s="141"/>
      <c r="F67" s="141"/>
      <c r="G67" s="141"/>
      <c r="H67" s="141"/>
      <c r="I67" s="141"/>
    </row>
    <row r="68" spans="1:9" x14ac:dyDescent="0.2">
      <c r="A68" s="146"/>
      <c r="B68" s="146"/>
      <c r="C68" s="141"/>
      <c r="D68" s="141"/>
      <c r="E68" s="141"/>
      <c r="F68" s="141"/>
      <c r="G68" s="141"/>
      <c r="H68" s="141"/>
      <c r="I68" s="141"/>
    </row>
    <row r="69" spans="1:9" x14ac:dyDescent="0.2">
      <c r="A69" s="15"/>
      <c r="B69" s="15"/>
    </row>
    <row r="70" spans="1:9" x14ac:dyDescent="0.2">
      <c r="A70" s="15"/>
      <c r="B70" s="15"/>
    </row>
    <row r="71" spans="1:9" x14ac:dyDescent="0.2">
      <c r="A71" s="15"/>
      <c r="B71" s="15"/>
    </row>
    <row r="72" spans="1:9" x14ac:dyDescent="0.2">
      <c r="A72" s="15"/>
      <c r="B72" s="15"/>
    </row>
    <row r="73" spans="1:9" x14ac:dyDescent="0.2">
      <c r="A73" s="15"/>
      <c r="B73" s="15"/>
    </row>
    <row r="74" spans="1:9" x14ac:dyDescent="0.2">
      <c r="A74" s="15"/>
      <c r="B74" s="15"/>
    </row>
    <row r="75" spans="1:9" x14ac:dyDescent="0.2">
      <c r="A75" s="15"/>
      <c r="B75" s="15"/>
    </row>
  </sheetData>
  <mergeCells count="37">
    <mergeCell ref="A48:B48"/>
    <mergeCell ref="A43:B43"/>
    <mergeCell ref="A44:B44"/>
    <mergeCell ref="A45:B45"/>
    <mergeCell ref="A46:B46"/>
    <mergeCell ref="A47:B47"/>
    <mergeCell ref="F40:H40"/>
    <mergeCell ref="E33:F33"/>
    <mergeCell ref="C48:D48"/>
    <mergeCell ref="E34:F34"/>
    <mergeCell ref="E35:F35"/>
    <mergeCell ref="E36:G36"/>
    <mergeCell ref="E37:G37"/>
    <mergeCell ref="E38:G38"/>
    <mergeCell ref="C43:D43"/>
    <mergeCell ref="C44:D44"/>
    <mergeCell ref="C45:D45"/>
    <mergeCell ref="C46:D46"/>
    <mergeCell ref="C47:D47"/>
    <mergeCell ref="F42:G42"/>
    <mergeCell ref="C42:D42"/>
    <mergeCell ref="B62:G63"/>
    <mergeCell ref="B2:I6"/>
    <mergeCell ref="A7:B7"/>
    <mergeCell ref="C7:F7"/>
    <mergeCell ref="C8:F8"/>
    <mergeCell ref="A8:B8"/>
    <mergeCell ref="G8:I8"/>
    <mergeCell ref="A13:B13"/>
    <mergeCell ref="A22:C22"/>
    <mergeCell ref="A25:C25"/>
    <mergeCell ref="D22:H24"/>
    <mergeCell ref="A42:B42"/>
    <mergeCell ref="A51:C51"/>
    <mergeCell ref="A16:B16"/>
    <mergeCell ref="A20:B20"/>
    <mergeCell ref="F41:G41"/>
  </mergeCells>
  <printOptions horizontalCentered="1"/>
  <pageMargins left="0.47244094488188981" right="0.39370078740157483" top="0.62992125984251968" bottom="0.98425196850393704" header="0.51181102362204722" footer="0.51181102362204722"/>
  <pageSetup paperSize="9" scale="85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14FA9-D9EA-4C83-9E19-7D06DE71D104}">
  <dimension ref="B3:F52"/>
  <sheetViews>
    <sheetView showGridLines="0" topLeftCell="A23" workbookViewId="0">
      <selection activeCell="F26" sqref="F26"/>
    </sheetView>
  </sheetViews>
  <sheetFormatPr baseColWidth="10" defaultRowHeight="12.75" x14ac:dyDescent="0.2"/>
  <cols>
    <col min="2" max="2" width="27.140625" customWidth="1"/>
    <col min="3" max="3" width="16" customWidth="1"/>
    <col min="4" max="4" width="23.5703125" customWidth="1"/>
  </cols>
  <sheetData>
    <row r="3" spans="2:4" ht="13.5" thickBot="1" x14ac:dyDescent="0.25"/>
    <row r="4" spans="2:4" ht="13.5" thickTop="1" x14ac:dyDescent="0.2">
      <c r="B4" s="72"/>
      <c r="C4" s="73"/>
      <c r="D4" s="73"/>
    </row>
    <row r="5" spans="2:4" ht="13.5" thickBot="1" x14ac:dyDescent="0.25">
      <c r="B5" s="74"/>
      <c r="C5" s="75"/>
      <c r="D5" s="75"/>
    </row>
    <row r="6" spans="2:4" ht="16.5" thickBot="1" x14ac:dyDescent="0.3">
      <c r="B6" s="270" t="s">
        <v>68</v>
      </c>
      <c r="C6" s="271"/>
      <c r="D6" s="272"/>
    </row>
    <row r="7" spans="2:4" ht="13.5" thickBot="1" x14ac:dyDescent="0.25">
      <c r="B7" s="76" t="s">
        <v>69</v>
      </c>
      <c r="C7" s="77" t="s">
        <v>70</v>
      </c>
      <c r="D7" s="78" t="s">
        <v>71</v>
      </c>
    </row>
    <row r="8" spans="2:4" x14ac:dyDescent="0.2">
      <c r="B8" s="79" t="s">
        <v>119</v>
      </c>
      <c r="C8" s="80">
        <v>0</v>
      </c>
      <c r="D8" s="81">
        <v>0</v>
      </c>
    </row>
    <row r="9" spans="2:4" x14ac:dyDescent="0.2">
      <c r="B9" s="82" t="s">
        <v>120</v>
      </c>
      <c r="C9" s="83">
        <v>0.1</v>
      </c>
      <c r="D9" s="84">
        <v>333.33</v>
      </c>
    </row>
    <row r="10" spans="2:4" x14ac:dyDescent="0.2">
      <c r="B10" s="82" t="s">
        <v>121</v>
      </c>
      <c r="C10" s="83">
        <v>0.2</v>
      </c>
      <c r="D10" s="84">
        <v>833.33</v>
      </c>
    </row>
    <row r="11" spans="2:4" x14ac:dyDescent="0.2">
      <c r="B11" s="82" t="s">
        <v>122</v>
      </c>
      <c r="C11" s="83">
        <v>0.3</v>
      </c>
      <c r="D11" s="134">
        <v>1500</v>
      </c>
    </row>
    <row r="12" spans="2:4" x14ac:dyDescent="0.2">
      <c r="B12" s="82" t="s">
        <v>123</v>
      </c>
      <c r="C12" s="85">
        <v>0.34</v>
      </c>
      <c r="D12" s="86">
        <v>1833.33</v>
      </c>
    </row>
    <row r="13" spans="2:4" ht="13.5" thickBot="1" x14ac:dyDescent="0.25">
      <c r="B13" s="87" t="s">
        <v>72</v>
      </c>
      <c r="C13" s="88">
        <v>0.37</v>
      </c>
      <c r="D13" s="89">
        <v>2283.33</v>
      </c>
    </row>
    <row r="14" spans="2:4" ht="13.5" thickBot="1" x14ac:dyDescent="0.25">
      <c r="B14" s="74"/>
      <c r="C14" s="75"/>
      <c r="D14" s="75"/>
    </row>
    <row r="15" spans="2:4" ht="16.5" thickBot="1" x14ac:dyDescent="0.3">
      <c r="B15" s="270" t="s">
        <v>73</v>
      </c>
      <c r="C15" s="271"/>
      <c r="D15" s="272"/>
    </row>
    <row r="16" spans="2:4" ht="13.5" thickBot="1" x14ac:dyDescent="0.25">
      <c r="B16" s="90" t="s">
        <v>74</v>
      </c>
      <c r="C16" s="91" t="s">
        <v>70</v>
      </c>
      <c r="D16" s="92" t="s">
        <v>75</v>
      </c>
    </row>
    <row r="17" spans="2:5" x14ac:dyDescent="0.2">
      <c r="B17" s="93" t="s">
        <v>76</v>
      </c>
      <c r="C17" s="94">
        <f>IF(E34&lt;=6500,35%,25%)</f>
        <v>0.25</v>
      </c>
      <c r="D17" s="137">
        <f>35000/12</f>
        <v>2916.6666666666665</v>
      </c>
    </row>
    <row r="18" spans="2:5" x14ac:dyDescent="0.2">
      <c r="B18" s="95" t="s">
        <v>77</v>
      </c>
      <c r="C18" s="96">
        <f>4.29%+0.19%</f>
        <v>4.48E-2</v>
      </c>
      <c r="D18" s="97">
        <v>6000</v>
      </c>
    </row>
    <row r="19" spans="2:5" ht="25.5" x14ac:dyDescent="0.2">
      <c r="B19" s="98" t="s">
        <v>78</v>
      </c>
      <c r="C19" s="99">
        <v>0.06</v>
      </c>
      <c r="D19" s="100">
        <v>2000000</v>
      </c>
    </row>
    <row r="20" spans="2:5" x14ac:dyDescent="0.2">
      <c r="B20" s="101" t="s">
        <v>79</v>
      </c>
      <c r="C20" s="99">
        <v>0</v>
      </c>
      <c r="D20" s="100" t="s">
        <v>80</v>
      </c>
    </row>
    <row r="21" spans="2:5" x14ac:dyDescent="0.2">
      <c r="B21" s="101" t="s">
        <v>81</v>
      </c>
      <c r="C21" s="99">
        <v>0</v>
      </c>
      <c r="D21" s="100"/>
    </row>
    <row r="22" spans="2:5" x14ac:dyDescent="0.2">
      <c r="B22" s="101" t="s">
        <v>82</v>
      </c>
      <c r="C22" s="99">
        <v>3.4099999999999998E-2</v>
      </c>
      <c r="D22" s="100" t="s">
        <v>80</v>
      </c>
    </row>
    <row r="23" spans="2:5" ht="13.5" thickBot="1" x14ac:dyDescent="0.25">
      <c r="B23" s="102" t="s">
        <v>83</v>
      </c>
      <c r="C23" s="135">
        <v>41.66</v>
      </c>
      <c r="D23" s="103">
        <v>3</v>
      </c>
    </row>
    <row r="25" spans="2:5" ht="13.5" thickBot="1" x14ac:dyDescent="0.25"/>
    <row r="26" spans="2:5" ht="17.25" thickTop="1" thickBot="1" x14ac:dyDescent="0.3">
      <c r="B26" s="273" t="s">
        <v>84</v>
      </c>
      <c r="C26" s="274"/>
      <c r="D26" s="275"/>
      <c r="E26" s="136">
        <v>0</v>
      </c>
    </row>
    <row r="27" spans="2:5" ht="17.25" thickTop="1" thickBot="1" x14ac:dyDescent="0.3">
      <c r="B27" s="273" t="s">
        <v>85</v>
      </c>
      <c r="C27" s="274"/>
      <c r="D27" s="275"/>
      <c r="E27" s="44">
        <f>+'Fiche d''embauche (2)'!H41</f>
        <v>13100</v>
      </c>
    </row>
    <row r="28" spans="2:5" ht="17.25" thickTop="1" thickBot="1" x14ac:dyDescent="0.3">
      <c r="B28" s="273" t="s">
        <v>86</v>
      </c>
      <c r="C28" s="274"/>
      <c r="D28" s="275"/>
      <c r="E28" s="45">
        <v>0</v>
      </c>
    </row>
    <row r="29" spans="2:5" ht="17.25" thickTop="1" thickBot="1" x14ac:dyDescent="0.3">
      <c r="B29" s="273" t="s">
        <v>131</v>
      </c>
      <c r="C29" s="274"/>
      <c r="D29" s="275"/>
      <c r="E29" s="47">
        <f>'Fiche d''embauche (2)'!H45</f>
        <v>0</v>
      </c>
    </row>
    <row r="30" spans="2:5" ht="17.25" thickTop="1" thickBot="1" x14ac:dyDescent="0.3">
      <c r="B30" s="273" t="s">
        <v>87</v>
      </c>
      <c r="C30" s="274"/>
      <c r="D30" s="275"/>
      <c r="E30" s="47">
        <f>+'Fiche d''embauche (2)'!H42+'Fiche d''embauche (2)'!H43</f>
        <v>4300</v>
      </c>
    </row>
    <row r="31" spans="2:5" ht="17.25" thickTop="1" thickBot="1" x14ac:dyDescent="0.3">
      <c r="B31" s="273" t="s">
        <v>88</v>
      </c>
      <c r="C31" s="274"/>
      <c r="D31" s="275"/>
      <c r="E31" s="47">
        <v>0</v>
      </c>
    </row>
    <row r="32" spans="2:5" ht="17.25" thickTop="1" thickBot="1" x14ac:dyDescent="0.3">
      <c r="B32" s="273" t="s">
        <v>132</v>
      </c>
      <c r="C32" s="274"/>
      <c r="D32" s="275"/>
      <c r="E32" s="47">
        <f>E27+E29+E30</f>
        <v>17400</v>
      </c>
    </row>
    <row r="33" spans="2:5" ht="17.25" thickTop="1" thickBot="1" x14ac:dyDescent="0.3">
      <c r="B33" s="273" t="s">
        <v>124</v>
      </c>
      <c r="C33" s="274"/>
      <c r="D33" s="275"/>
      <c r="E33" s="47">
        <f>+'Fiche d''embauche (2)'!H44</f>
        <v>0</v>
      </c>
    </row>
    <row r="34" spans="2:5" ht="17.25" thickTop="1" thickBot="1" x14ac:dyDescent="0.3">
      <c r="B34" s="273" t="s">
        <v>89</v>
      </c>
      <c r="C34" s="274"/>
      <c r="D34" s="275"/>
      <c r="E34" s="46">
        <f>E27+E29+E30</f>
        <v>17400</v>
      </c>
    </row>
    <row r="35" spans="2:5" ht="17.25" thickTop="1" thickBot="1" x14ac:dyDescent="0.3">
      <c r="B35" s="273" t="s">
        <v>90</v>
      </c>
      <c r="C35" s="274"/>
      <c r="D35" s="275"/>
      <c r="E35" s="46">
        <v>0</v>
      </c>
    </row>
    <row r="36" spans="2:5" ht="17.25" thickTop="1" thickBot="1" x14ac:dyDescent="0.3">
      <c r="B36" s="273" t="s">
        <v>91</v>
      </c>
      <c r="C36" s="274"/>
      <c r="D36" s="275"/>
      <c r="E36" s="46">
        <f>+E27+E29+E30+E31</f>
        <v>17400</v>
      </c>
    </row>
    <row r="37" spans="2:5" ht="14.25" thickTop="1" thickBot="1" x14ac:dyDescent="0.25"/>
    <row r="38" spans="2:5" ht="13.5" thickBot="1" x14ac:dyDescent="0.25">
      <c r="B38" s="264" t="s">
        <v>76</v>
      </c>
      <c r="C38" s="265"/>
      <c r="D38" s="266">
        <f>IF((E36*C17)&lt;=D17,(E36*C17),D17)</f>
        <v>2916.6666666666665</v>
      </c>
      <c r="E38" s="267"/>
    </row>
    <row r="39" spans="2:5" ht="13.5" thickBot="1" x14ac:dyDescent="0.25">
      <c r="B39" s="264" t="s">
        <v>77</v>
      </c>
      <c r="C39" s="265"/>
      <c r="D39" s="268">
        <f>IF((E36&lt;=D18),(E36*C18),(D18*C18))</f>
        <v>268.8</v>
      </c>
      <c r="E39" s="269"/>
    </row>
    <row r="40" spans="2:5" ht="13.5" thickBot="1" x14ac:dyDescent="0.25">
      <c r="B40" s="264" t="s">
        <v>56</v>
      </c>
      <c r="C40" s="265"/>
      <c r="D40" s="266">
        <f>IF((E36&lt;=D19),(E36*C19),(D19*C19))</f>
        <v>1044</v>
      </c>
      <c r="E40" s="267"/>
    </row>
    <row r="41" spans="2:5" ht="13.5" thickBot="1" x14ac:dyDescent="0.25">
      <c r="B41" s="264" t="s">
        <v>79</v>
      </c>
      <c r="C41" s="265"/>
      <c r="D41" s="266">
        <v>0</v>
      </c>
      <c r="E41" s="267"/>
    </row>
    <row r="42" spans="2:5" ht="13.5" thickBot="1" x14ac:dyDescent="0.25">
      <c r="B42" s="264" t="s">
        <v>81</v>
      </c>
      <c r="C42" s="265"/>
      <c r="D42" s="268">
        <v>0</v>
      </c>
      <c r="E42" s="269"/>
    </row>
    <row r="43" spans="2:5" ht="13.5" thickBot="1" x14ac:dyDescent="0.25">
      <c r="B43" s="264" t="s">
        <v>82</v>
      </c>
      <c r="C43" s="265"/>
      <c r="D43" s="266">
        <f>E36*C22</f>
        <v>593.33999999999992</v>
      </c>
      <c r="E43" s="267"/>
    </row>
    <row r="44" spans="2:5" ht="13.5" thickBot="1" x14ac:dyDescent="0.25">
      <c r="B44" s="264" t="s">
        <v>92</v>
      </c>
      <c r="C44" s="265"/>
      <c r="D44" s="276">
        <f>E36-D38-D39-D40-D41-D42-D43-E35</f>
        <v>12577.193333333335</v>
      </c>
      <c r="E44" s="269"/>
    </row>
    <row r="45" spans="2:5" ht="13.5" thickBot="1" x14ac:dyDescent="0.25">
      <c r="B45" s="264" t="s">
        <v>93</v>
      </c>
      <c r="C45" s="265"/>
      <c r="D45" s="266">
        <f>IF(D44&lt;=3333.33,(D44*C8)-D8,IF(D44&lt;=5000,(D44*C9)-D9,IF(D44&lt;=6667,(D44*C10)-D10,IF(D44&lt;=8333.33,(D44*C11)-D11,IF(D44&lt;=15000,(D44*C12)-D12,IF(D44&gt;=15001,(D44*C13)-D13))))))</f>
        <v>2442.9157333333342</v>
      </c>
      <c r="E45" s="267"/>
    </row>
    <row r="46" spans="2:5" ht="13.5" thickBot="1" x14ac:dyDescent="0.25">
      <c r="B46" s="264" t="s">
        <v>83</v>
      </c>
      <c r="C46" s="265"/>
      <c r="D46" s="268">
        <f>IF((E26)&lt;=6,(E26*C23),(D23))</f>
        <v>0</v>
      </c>
      <c r="E46" s="269"/>
    </row>
    <row r="47" spans="2:5" ht="13.5" thickBot="1" x14ac:dyDescent="0.25">
      <c r="B47" s="264" t="s">
        <v>94</v>
      </c>
      <c r="C47" s="265"/>
      <c r="D47" s="266">
        <v>0</v>
      </c>
      <c r="E47" s="269"/>
    </row>
    <row r="48" spans="2:5" ht="13.5" thickBot="1" x14ac:dyDescent="0.25">
      <c r="B48" s="264" t="s">
        <v>95</v>
      </c>
      <c r="C48" s="265"/>
      <c r="D48" s="266">
        <f>+D45-D46</f>
        <v>2442.9157333333342</v>
      </c>
      <c r="E48" s="269"/>
    </row>
    <row r="49" spans="2:6" ht="16.5" thickBot="1" x14ac:dyDescent="0.3">
      <c r="B49" s="264" t="s">
        <v>96</v>
      </c>
      <c r="C49" s="265"/>
      <c r="D49" s="277">
        <f>E27+E29+E30-D39-D40-D43-D48+E33</f>
        <v>13050.944266666665</v>
      </c>
      <c r="E49" s="278"/>
      <c r="F49" s="138"/>
    </row>
    <row r="50" spans="2:6" ht="13.5" thickBot="1" x14ac:dyDescent="0.25">
      <c r="B50" s="264" t="s">
        <v>97</v>
      </c>
      <c r="C50" s="265"/>
      <c r="D50" s="268"/>
      <c r="E50" s="269"/>
    </row>
    <row r="51" spans="2:6" ht="13.5" thickBot="1" x14ac:dyDescent="0.25">
      <c r="B51" s="264" t="s">
        <v>98</v>
      </c>
      <c r="C51" s="265"/>
      <c r="D51" s="268"/>
      <c r="E51" s="269"/>
    </row>
    <row r="52" spans="2:6" ht="13.5" thickBot="1" x14ac:dyDescent="0.25">
      <c r="B52" s="264" t="s">
        <v>99</v>
      </c>
      <c r="C52" s="265"/>
      <c r="D52" s="268"/>
      <c r="E52" s="269"/>
    </row>
  </sheetData>
  <mergeCells count="43">
    <mergeCell ref="D51:E51"/>
    <mergeCell ref="D46:E46"/>
    <mergeCell ref="D47:E47"/>
    <mergeCell ref="D48:E48"/>
    <mergeCell ref="D49:E49"/>
    <mergeCell ref="D50:E50"/>
    <mergeCell ref="D41:E41"/>
    <mergeCell ref="D42:E42"/>
    <mergeCell ref="D43:E43"/>
    <mergeCell ref="D44:E44"/>
    <mergeCell ref="D45:E45"/>
    <mergeCell ref="B35:D35"/>
    <mergeCell ref="B38:C38"/>
    <mergeCell ref="B39:C39"/>
    <mergeCell ref="B52:C52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D52:E52"/>
    <mergeCell ref="B40:C40"/>
    <mergeCell ref="D38:E38"/>
    <mergeCell ref="D39:E39"/>
    <mergeCell ref="D40:E40"/>
    <mergeCell ref="B6:D6"/>
    <mergeCell ref="B15:D15"/>
    <mergeCell ref="B26:D26"/>
    <mergeCell ref="B36:D36"/>
    <mergeCell ref="B27:D27"/>
    <mergeCell ref="B28:D28"/>
    <mergeCell ref="B29:D29"/>
    <mergeCell ref="B30:D30"/>
    <mergeCell ref="B31:D31"/>
    <mergeCell ref="B32:D32"/>
    <mergeCell ref="B33:D33"/>
    <mergeCell ref="B34:D34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9C366-6827-45A1-A6EA-B97431E67576}">
  <dimension ref="A2:K63"/>
  <sheetViews>
    <sheetView workbookViewId="0">
      <selection activeCell="G9" sqref="G9"/>
    </sheetView>
  </sheetViews>
  <sheetFormatPr baseColWidth="10" defaultColWidth="11.42578125" defaultRowHeight="12.75" x14ac:dyDescent="0.2"/>
  <cols>
    <col min="8" max="8" width="14.140625" customWidth="1"/>
    <col min="11" max="11" width="12.140625" customWidth="1"/>
  </cols>
  <sheetData>
    <row r="2" spans="1:11" ht="13.5" thickBot="1" x14ac:dyDescent="0.25"/>
    <row r="3" spans="1:11" ht="13.5" thickBot="1" x14ac:dyDescent="0.25">
      <c r="A3" s="57"/>
      <c r="B3" s="1"/>
      <c r="C3" s="2"/>
      <c r="D3" s="3"/>
      <c r="E3" s="3"/>
      <c r="F3" s="3"/>
      <c r="G3" s="3"/>
      <c r="H3" s="1"/>
      <c r="I3" s="2"/>
      <c r="J3" s="3"/>
      <c r="K3" s="1"/>
    </row>
    <row r="4" spans="1:11" ht="16.5" thickBot="1" x14ac:dyDescent="0.3">
      <c r="A4" s="58"/>
      <c r="B4" s="4"/>
      <c r="C4" s="5"/>
      <c r="E4" s="6" t="s">
        <v>0</v>
      </c>
      <c r="H4" s="4"/>
      <c r="I4" s="5"/>
      <c r="J4" s="24" t="s">
        <v>100</v>
      </c>
      <c r="K4" s="4" t="s">
        <v>1</v>
      </c>
    </row>
    <row r="5" spans="1:11" ht="13.5" thickBot="1" x14ac:dyDescent="0.25">
      <c r="A5" s="59" t="s">
        <v>2</v>
      </c>
      <c r="B5" s="7">
        <f ca="1">TODAY()</f>
        <v>46125</v>
      </c>
      <c r="C5" s="5"/>
      <c r="I5" s="5"/>
      <c r="K5" s="4"/>
    </row>
    <row r="6" spans="1:11" ht="13.5" thickBot="1" x14ac:dyDescent="0.25">
      <c r="A6" s="59"/>
      <c r="B6" s="7"/>
      <c r="C6" s="5"/>
      <c r="D6" s="24"/>
      <c r="E6" s="104" t="s">
        <v>3</v>
      </c>
      <c r="G6" s="24" t="s">
        <v>4</v>
      </c>
      <c r="H6" s="71" t="s">
        <v>5</v>
      </c>
      <c r="I6" s="5"/>
      <c r="J6" s="24"/>
      <c r="K6" s="4" t="s">
        <v>6</v>
      </c>
    </row>
    <row r="7" spans="1:11" ht="13.5" thickBot="1" x14ac:dyDescent="0.25">
      <c r="A7" s="60"/>
      <c r="B7" s="9"/>
      <c r="C7" s="10"/>
      <c r="D7" s="11"/>
      <c r="E7" s="11"/>
      <c r="F7" s="11"/>
      <c r="G7" s="11"/>
      <c r="H7" s="12"/>
      <c r="I7" s="10"/>
      <c r="J7" s="11"/>
      <c r="K7" s="12"/>
    </row>
    <row r="8" spans="1:11" x14ac:dyDescent="0.2">
      <c r="A8" s="118"/>
      <c r="B8" s="115"/>
      <c r="C8" s="119"/>
      <c r="D8" s="119"/>
      <c r="E8" s="119"/>
      <c r="F8" s="119"/>
      <c r="G8" s="119"/>
      <c r="H8" s="119"/>
      <c r="I8" s="119"/>
      <c r="J8" s="119"/>
      <c r="K8" s="120"/>
    </row>
    <row r="9" spans="1:11" x14ac:dyDescent="0.2">
      <c r="A9" s="125" t="s">
        <v>101</v>
      </c>
      <c r="B9" s="126"/>
      <c r="C9" s="121"/>
      <c r="D9" s="121"/>
      <c r="E9" s="121"/>
      <c r="F9" s="121"/>
      <c r="G9" s="121"/>
      <c r="H9" s="121"/>
      <c r="I9" s="121"/>
      <c r="J9" s="121"/>
      <c r="K9" s="122"/>
    </row>
    <row r="10" spans="1:11" ht="13.5" thickBot="1" x14ac:dyDescent="0.25">
      <c r="A10" s="116"/>
      <c r="B10" s="117"/>
      <c r="C10" s="123"/>
      <c r="D10" s="123"/>
      <c r="E10" s="123"/>
      <c r="F10" s="123"/>
      <c r="G10" s="123"/>
      <c r="H10" s="123"/>
      <c r="I10" s="123"/>
      <c r="J10" s="123"/>
      <c r="K10" s="124"/>
    </row>
    <row r="11" spans="1:11" x14ac:dyDescent="0.2">
      <c r="A11" s="63"/>
      <c r="B11" s="64"/>
      <c r="C11" s="279" t="s">
        <v>7</v>
      </c>
      <c r="D11" s="280"/>
      <c r="E11" s="281"/>
      <c r="F11" s="279" t="s">
        <v>8</v>
      </c>
      <c r="G11" s="280"/>
      <c r="H11" s="281"/>
      <c r="I11" s="279" t="s">
        <v>102</v>
      </c>
      <c r="J11" s="280"/>
      <c r="K11" s="281"/>
    </row>
    <row r="12" spans="1:11" x14ac:dyDescent="0.2">
      <c r="A12" s="16" t="s">
        <v>9</v>
      </c>
      <c r="B12" s="14"/>
      <c r="C12" s="16" t="s">
        <v>9</v>
      </c>
      <c r="D12" s="14" t="s">
        <v>103</v>
      </c>
      <c r="E12" s="14"/>
      <c r="F12" s="16" t="s">
        <v>9</v>
      </c>
      <c r="G12" s="14" t="s">
        <v>104</v>
      </c>
      <c r="H12" s="14"/>
      <c r="I12" s="16" t="s">
        <v>105</v>
      </c>
      <c r="J12" s="15"/>
      <c r="K12" s="14"/>
    </row>
    <row r="13" spans="1:11" x14ac:dyDescent="0.2">
      <c r="A13" s="16"/>
      <c r="B13" s="14"/>
      <c r="C13" s="16"/>
      <c r="D13" s="15"/>
      <c r="E13" s="14"/>
      <c r="F13" s="16"/>
      <c r="G13" s="15"/>
      <c r="H13" s="14"/>
      <c r="I13" s="16"/>
      <c r="J13" s="15"/>
      <c r="K13" s="14"/>
    </row>
    <row r="14" spans="1:11" x14ac:dyDescent="0.2">
      <c r="A14" s="13"/>
      <c r="B14" s="14"/>
      <c r="C14" s="13"/>
      <c r="D14" s="15"/>
      <c r="E14" s="14"/>
      <c r="F14" s="13"/>
      <c r="G14" s="15"/>
      <c r="H14" s="14"/>
      <c r="I14" s="13"/>
      <c r="J14" s="15"/>
      <c r="K14" s="14"/>
    </row>
    <row r="15" spans="1:11" x14ac:dyDescent="0.2">
      <c r="A15" s="13"/>
      <c r="B15" s="14"/>
      <c r="C15" s="13"/>
      <c r="D15" s="15"/>
      <c r="E15" s="14"/>
      <c r="F15" s="13"/>
      <c r="G15" s="15"/>
      <c r="H15" s="14"/>
      <c r="I15" s="13"/>
      <c r="J15" s="15"/>
      <c r="K15" s="14"/>
    </row>
    <row r="16" spans="1:11" x14ac:dyDescent="0.2">
      <c r="A16" s="13"/>
      <c r="B16" s="14"/>
      <c r="C16" s="13"/>
      <c r="D16" s="15"/>
      <c r="E16" s="14"/>
      <c r="F16" s="13"/>
      <c r="G16" s="15"/>
      <c r="H16" s="14"/>
      <c r="I16" s="13"/>
      <c r="J16" s="15"/>
      <c r="K16" s="14"/>
    </row>
    <row r="17" spans="1:11" x14ac:dyDescent="0.2">
      <c r="A17" s="13" t="s">
        <v>10</v>
      </c>
      <c r="B17" s="14"/>
      <c r="C17" s="13" t="s">
        <v>10</v>
      </c>
      <c r="D17" s="15"/>
      <c r="E17" s="14"/>
      <c r="F17" s="13" t="s">
        <v>10</v>
      </c>
      <c r="G17" s="15"/>
      <c r="H17" s="14"/>
      <c r="I17" s="13" t="s">
        <v>10</v>
      </c>
      <c r="J17" s="15"/>
      <c r="K17" s="14"/>
    </row>
    <row r="18" spans="1:11" ht="13.5" thickBot="1" x14ac:dyDescent="0.25">
      <c r="A18" s="16"/>
      <c r="B18" s="14"/>
      <c r="C18" s="16"/>
      <c r="D18" s="15"/>
      <c r="E18" s="14"/>
      <c r="F18" s="16"/>
      <c r="G18" s="15"/>
      <c r="H18" s="14"/>
      <c r="I18" s="16"/>
      <c r="J18" s="15"/>
      <c r="K18" s="14"/>
    </row>
    <row r="19" spans="1:11" x14ac:dyDescent="0.2">
      <c r="A19" s="63" t="s">
        <v>11</v>
      </c>
      <c r="B19" s="61"/>
      <c r="C19" s="62"/>
      <c r="D19" s="3"/>
      <c r="E19" s="3"/>
      <c r="F19" s="3"/>
      <c r="G19" s="3"/>
      <c r="H19" s="3"/>
      <c r="I19" s="3"/>
      <c r="J19" s="3"/>
      <c r="K19" s="1"/>
    </row>
    <row r="20" spans="1:11" ht="15" x14ac:dyDescent="0.25">
      <c r="A20" s="16"/>
      <c r="B20" s="17" t="s">
        <v>12</v>
      </c>
      <c r="E20" s="26" t="s">
        <v>106</v>
      </c>
      <c r="K20" s="4"/>
    </row>
    <row r="21" spans="1:11" x14ac:dyDescent="0.2">
      <c r="A21" s="16"/>
      <c r="B21" s="17"/>
      <c r="K21" s="4"/>
    </row>
    <row r="22" spans="1:11" ht="13.5" thickBot="1" x14ac:dyDescent="0.25">
      <c r="A22" s="18"/>
      <c r="B22" s="19" t="s">
        <v>13</v>
      </c>
      <c r="C22" s="11"/>
      <c r="D22" s="11"/>
      <c r="E22" s="27" t="s">
        <v>107</v>
      </c>
      <c r="F22" s="11"/>
      <c r="G22" s="11"/>
      <c r="H22" s="11"/>
      <c r="I22" s="11"/>
      <c r="J22" s="11"/>
      <c r="K22" s="12"/>
    </row>
    <row r="23" spans="1:11" x14ac:dyDescent="0.2">
      <c r="A23" s="16"/>
      <c r="B23" s="17"/>
      <c r="K23" s="4"/>
    </row>
    <row r="24" spans="1:11" ht="15.75" x14ac:dyDescent="0.25">
      <c r="A24" s="59"/>
      <c r="B24" s="65" t="s">
        <v>16</v>
      </c>
      <c r="C24" s="66"/>
      <c r="E24" s="25" t="s">
        <v>108</v>
      </c>
      <c r="K24" s="4"/>
    </row>
    <row r="25" spans="1:11" ht="13.5" thickBot="1" x14ac:dyDescent="0.25">
      <c r="A25" s="18"/>
      <c r="B25" s="20"/>
      <c r="C25" s="11"/>
      <c r="D25" s="11"/>
      <c r="E25" s="11"/>
      <c r="F25" s="11"/>
      <c r="G25" s="11"/>
      <c r="H25" s="11"/>
      <c r="I25" s="11"/>
      <c r="J25" s="11"/>
      <c r="K25" s="12"/>
    </row>
    <row r="26" spans="1:11" x14ac:dyDescent="0.2">
      <c r="A26" s="63"/>
      <c r="B26" s="67"/>
      <c r="C26" s="68" t="s">
        <v>18</v>
      </c>
      <c r="D26" s="21"/>
      <c r="E26" s="3"/>
      <c r="F26" s="3"/>
      <c r="G26" s="3"/>
      <c r="H26" s="3"/>
      <c r="I26" s="3"/>
      <c r="J26" s="3"/>
      <c r="K26" s="1"/>
    </row>
    <row r="27" spans="1:11" x14ac:dyDescent="0.2">
      <c r="A27" s="5"/>
      <c r="B27" s="17"/>
      <c r="K27" s="4"/>
    </row>
    <row r="28" spans="1:11" x14ac:dyDescent="0.2">
      <c r="A28" s="5"/>
      <c r="B28" s="17" t="s">
        <v>103</v>
      </c>
      <c r="E28" t="s">
        <v>22</v>
      </c>
      <c r="K28" s="4"/>
    </row>
    <row r="29" spans="1:11" x14ac:dyDescent="0.2">
      <c r="A29" s="5"/>
      <c r="B29" s="17" t="s">
        <v>104</v>
      </c>
      <c r="E29" t="s">
        <v>22</v>
      </c>
      <c r="K29" s="4"/>
    </row>
    <row r="30" spans="1:11" x14ac:dyDescent="0.2">
      <c r="A30" s="5"/>
      <c r="B30" s="17" t="s">
        <v>109</v>
      </c>
      <c r="E30" t="s">
        <v>22</v>
      </c>
      <c r="K30" s="4"/>
    </row>
    <row r="31" spans="1:11" x14ac:dyDescent="0.2">
      <c r="A31" s="5"/>
      <c r="B31" s="17" t="s">
        <v>110</v>
      </c>
      <c r="E31" t="s">
        <v>22</v>
      </c>
      <c r="K31" s="4"/>
    </row>
    <row r="32" spans="1:11" x14ac:dyDescent="0.2">
      <c r="A32" s="5"/>
      <c r="B32" s="17" t="s">
        <v>111</v>
      </c>
      <c r="E32" t="s">
        <v>22</v>
      </c>
      <c r="K32" s="4"/>
    </row>
    <row r="33" spans="1:11" ht="13.5" thickBot="1" x14ac:dyDescent="0.25">
      <c r="A33" s="18"/>
      <c r="B33" s="22"/>
      <c r="C33" s="11"/>
      <c r="D33" s="11"/>
      <c r="E33" s="11"/>
      <c r="F33" s="11"/>
      <c r="G33" s="11"/>
      <c r="H33" s="11"/>
      <c r="I33" s="11"/>
      <c r="J33" s="11"/>
      <c r="K33" s="12"/>
    </row>
    <row r="34" spans="1:11" x14ac:dyDescent="0.2">
      <c r="A34" s="63" t="s">
        <v>27</v>
      </c>
      <c r="B34" s="69"/>
      <c r="C34" s="70"/>
      <c r="D34" s="3"/>
      <c r="E34" s="3"/>
      <c r="F34" s="3"/>
      <c r="G34" s="3"/>
      <c r="H34" s="3"/>
      <c r="I34" s="3"/>
      <c r="J34" s="3"/>
      <c r="K34" s="1"/>
    </row>
    <row r="35" spans="1:11" x14ac:dyDescent="0.2">
      <c r="A35" s="16"/>
      <c r="B35" s="17" t="s">
        <v>31</v>
      </c>
      <c r="E35" t="s">
        <v>112</v>
      </c>
      <c r="K35" s="4"/>
    </row>
    <row r="36" spans="1:11" x14ac:dyDescent="0.2">
      <c r="A36" s="16"/>
      <c r="B36" s="17" t="s">
        <v>32</v>
      </c>
      <c r="D36" s="23"/>
      <c r="E36" s="56">
        <v>44896</v>
      </c>
      <c r="K36" s="4"/>
    </row>
    <row r="37" spans="1:11" ht="13.5" thickBot="1" x14ac:dyDescent="0.25">
      <c r="A37" s="18"/>
      <c r="B37" s="22"/>
      <c r="C37" s="11"/>
      <c r="D37" s="11"/>
      <c r="E37" s="11"/>
      <c r="F37" s="11"/>
      <c r="G37" s="11"/>
      <c r="H37" s="11"/>
      <c r="I37" s="11"/>
      <c r="J37" s="11"/>
      <c r="K37" s="12"/>
    </row>
    <row r="38" spans="1:11" x14ac:dyDescent="0.2">
      <c r="A38" s="63" t="s">
        <v>33</v>
      </c>
      <c r="B38" s="69"/>
      <c r="C38" s="70"/>
      <c r="D38" s="3"/>
      <c r="E38" s="3"/>
      <c r="F38" s="3"/>
      <c r="G38" s="3"/>
      <c r="H38" s="3"/>
      <c r="I38" s="3"/>
      <c r="J38" s="3"/>
      <c r="K38" s="1"/>
    </row>
    <row r="39" spans="1:11" x14ac:dyDescent="0.2">
      <c r="A39" s="5"/>
      <c r="B39" s="17" t="s">
        <v>34</v>
      </c>
      <c r="E39" s="31" t="s">
        <v>35</v>
      </c>
      <c r="F39" s="32"/>
      <c r="G39" s="32"/>
      <c r="H39" s="33">
        <v>14200</v>
      </c>
      <c r="I39" s="34" t="s">
        <v>36</v>
      </c>
      <c r="J39" s="35"/>
      <c r="K39" s="36"/>
    </row>
    <row r="40" spans="1:11" x14ac:dyDescent="0.2">
      <c r="A40" s="5"/>
      <c r="B40" s="17"/>
      <c r="E40" s="37" t="s">
        <v>38</v>
      </c>
      <c r="F40" s="35"/>
      <c r="G40" s="32"/>
      <c r="H40" s="33">
        <v>3000</v>
      </c>
      <c r="I40" s="34" t="s">
        <v>39</v>
      </c>
      <c r="J40" s="35"/>
      <c r="K40" s="36"/>
    </row>
    <row r="41" spans="1:11" x14ac:dyDescent="0.2">
      <c r="A41" s="5"/>
      <c r="B41" s="17"/>
      <c r="E41" s="37"/>
      <c r="F41" s="35"/>
      <c r="G41" s="35"/>
      <c r="H41" s="33"/>
      <c r="I41" s="34"/>
      <c r="J41" s="35"/>
      <c r="K41" s="36"/>
    </row>
    <row r="42" spans="1:11" x14ac:dyDescent="0.2">
      <c r="A42" s="5"/>
      <c r="B42" s="17"/>
      <c r="E42" s="37"/>
      <c r="F42" s="35"/>
      <c r="G42" s="35"/>
      <c r="H42" s="33"/>
      <c r="I42" s="34"/>
      <c r="J42" s="35"/>
      <c r="K42" s="36"/>
    </row>
    <row r="43" spans="1:11" x14ac:dyDescent="0.2">
      <c r="A43" s="5"/>
      <c r="B43" s="17"/>
      <c r="E43" s="38"/>
      <c r="F43" s="39"/>
      <c r="G43" s="39"/>
      <c r="H43" s="40"/>
      <c r="I43" s="127"/>
      <c r="J43" s="39"/>
      <c r="K43" s="41"/>
    </row>
    <row r="44" spans="1:11" x14ac:dyDescent="0.2">
      <c r="A44" s="5"/>
      <c r="B44" s="17"/>
      <c r="E44" s="42"/>
      <c r="H44" s="55"/>
      <c r="I44" s="55"/>
      <c r="K44" s="28"/>
    </row>
    <row r="45" spans="1:11" x14ac:dyDescent="0.2">
      <c r="A45" s="5"/>
      <c r="B45" s="17" t="s">
        <v>48</v>
      </c>
      <c r="E45" s="42" t="s">
        <v>67</v>
      </c>
      <c r="H45" s="54"/>
      <c r="K45" s="4"/>
    </row>
    <row r="46" spans="1:11" x14ac:dyDescent="0.2">
      <c r="A46" s="5"/>
      <c r="B46" s="17" t="s">
        <v>49</v>
      </c>
      <c r="E46" s="42" t="s">
        <v>113</v>
      </c>
      <c r="K46" s="4"/>
    </row>
    <row r="47" spans="1:11" ht="13.5" thickBot="1" x14ac:dyDescent="0.25">
      <c r="A47" s="18"/>
      <c r="B47" s="22"/>
      <c r="C47" s="11"/>
      <c r="D47" s="11"/>
      <c r="E47" s="11"/>
      <c r="F47" s="11"/>
      <c r="G47" s="11"/>
      <c r="H47" s="11"/>
      <c r="I47" s="11"/>
      <c r="J47" s="11"/>
      <c r="K47" s="12"/>
    </row>
    <row r="48" spans="1:11" x14ac:dyDescent="0.2">
      <c r="A48" s="63" t="s">
        <v>50</v>
      </c>
      <c r="B48" s="69"/>
      <c r="C48" s="70"/>
      <c r="D48" s="3"/>
      <c r="E48" s="3"/>
      <c r="F48" s="3"/>
      <c r="G48" s="3"/>
      <c r="H48" s="3"/>
      <c r="I48" s="3"/>
      <c r="J48" s="3"/>
      <c r="K48" s="1"/>
    </row>
    <row r="49" spans="1:11" x14ac:dyDescent="0.2">
      <c r="A49" s="16"/>
      <c r="E49" s="43" t="s">
        <v>51</v>
      </c>
      <c r="K49" s="4"/>
    </row>
    <row r="50" spans="1:11" ht="13.5" thickBot="1" x14ac:dyDescent="0.25">
      <c r="A50" s="18"/>
      <c r="B50" s="22"/>
      <c r="C50" s="11"/>
      <c r="D50" s="11"/>
      <c r="E50" s="11"/>
      <c r="F50" s="11"/>
      <c r="G50" s="11"/>
      <c r="H50" s="11"/>
      <c r="I50" s="11"/>
      <c r="J50" s="11"/>
      <c r="K50" s="12"/>
    </row>
    <row r="51" spans="1:11" x14ac:dyDescent="0.2">
      <c r="A51" s="63" t="s">
        <v>52</v>
      </c>
      <c r="B51" s="69"/>
      <c r="C51" s="70"/>
      <c r="D51" s="70"/>
      <c r="E51" s="70"/>
      <c r="F51" s="3"/>
      <c r="G51" s="3"/>
      <c r="H51" s="3"/>
      <c r="I51" s="3"/>
      <c r="J51" s="3"/>
      <c r="K51" s="1"/>
    </row>
    <row r="52" spans="1:11" x14ac:dyDescent="0.2">
      <c r="A52" s="16"/>
      <c r="B52" s="15"/>
      <c r="C52" s="29"/>
      <c r="E52" s="29"/>
      <c r="K52" s="4"/>
    </row>
    <row r="53" spans="1:11" x14ac:dyDescent="0.2">
      <c r="A53" s="5"/>
      <c r="B53" s="17" t="s">
        <v>55</v>
      </c>
      <c r="C53" s="29">
        <v>2010</v>
      </c>
      <c r="D53" s="29" t="s">
        <v>114</v>
      </c>
      <c r="E53" s="29"/>
      <c r="K53" s="4"/>
    </row>
    <row r="54" spans="1:11" x14ac:dyDescent="0.2">
      <c r="A54" s="5"/>
      <c r="B54" s="17"/>
      <c r="C54">
        <v>2016</v>
      </c>
      <c r="D54" s="29" t="s">
        <v>115</v>
      </c>
      <c r="E54" s="29"/>
      <c r="K54" s="4"/>
    </row>
    <row r="55" spans="1:11" x14ac:dyDescent="0.2">
      <c r="A55" s="5"/>
      <c r="C55" s="29"/>
      <c r="D55" s="29" t="s">
        <v>116</v>
      </c>
      <c r="E55" s="29"/>
      <c r="K55" s="4"/>
    </row>
    <row r="56" spans="1:11" x14ac:dyDescent="0.2">
      <c r="A56" s="30"/>
      <c r="B56" s="17"/>
      <c r="C56" s="29"/>
      <c r="D56" s="29"/>
      <c r="E56" s="129"/>
      <c r="K56" s="4"/>
    </row>
    <row r="57" spans="1:11" x14ac:dyDescent="0.2">
      <c r="A57" s="30"/>
      <c r="B57" s="17"/>
      <c r="C57" s="29"/>
      <c r="D57" s="29"/>
      <c r="E57" s="129"/>
      <c r="K57" s="4"/>
    </row>
    <row r="58" spans="1:11" x14ac:dyDescent="0.2">
      <c r="A58" s="5"/>
      <c r="B58" s="30" t="s">
        <v>62</v>
      </c>
      <c r="C58" s="29" t="s">
        <v>117</v>
      </c>
      <c r="D58" s="29" t="s">
        <v>118</v>
      </c>
      <c r="E58" s="129"/>
      <c r="K58" s="4"/>
    </row>
    <row r="59" spans="1:11" x14ac:dyDescent="0.2">
      <c r="A59" s="30"/>
      <c r="B59" s="17"/>
      <c r="C59" s="29"/>
      <c r="D59" s="29"/>
      <c r="E59" s="29"/>
      <c r="K59" s="4"/>
    </row>
    <row r="60" spans="1:11" x14ac:dyDescent="0.2">
      <c r="A60" s="5"/>
      <c r="B60" s="17"/>
      <c r="C60" s="130"/>
      <c r="D60" s="131"/>
      <c r="E60" s="29"/>
      <c r="K60" s="4"/>
    </row>
    <row r="61" spans="1:11" x14ac:dyDescent="0.2">
      <c r="A61" s="5"/>
      <c r="B61" s="17"/>
      <c r="C61" s="29"/>
      <c r="D61" s="29"/>
      <c r="E61" s="29"/>
      <c r="K61" s="4"/>
    </row>
    <row r="62" spans="1:11" x14ac:dyDescent="0.2">
      <c r="A62" s="5"/>
      <c r="B62" s="17" t="s">
        <v>65</v>
      </c>
      <c r="C62" s="29" t="s">
        <v>66</v>
      </c>
      <c r="K62" s="4"/>
    </row>
    <row r="63" spans="1:11" ht="13.5" thickBot="1" x14ac:dyDescent="0.25">
      <c r="A63" s="18"/>
      <c r="B63" s="22"/>
      <c r="C63" s="11"/>
      <c r="D63" s="11"/>
      <c r="E63" s="11"/>
      <c r="F63" s="11"/>
      <c r="G63" s="11"/>
      <c r="H63" s="11"/>
      <c r="I63" s="11"/>
      <c r="J63" s="11"/>
      <c r="K63" s="12"/>
    </row>
  </sheetData>
  <mergeCells count="3">
    <mergeCell ref="C11:E11"/>
    <mergeCell ref="F11:H11"/>
    <mergeCell ref="I11:K11"/>
  </mergeCells>
  <pageMargins left="0.70866141732283472" right="0.70866141732283472" top="0.74803149606299213" bottom="0.74803149606299213" header="0.31496062992125984" footer="0.31496062992125984"/>
  <pageSetup paperSize="9" scale="65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05A64242E710043829FF0F2F5747814" ma:contentTypeVersion="4" ma:contentTypeDescription="Crée un document." ma:contentTypeScope="" ma:versionID="53c33c13d8c3a0cafa5e3d52e3875bb3">
  <xsd:schema xmlns:xsd="http://www.w3.org/2001/XMLSchema" xmlns:xs="http://www.w3.org/2001/XMLSchema" xmlns:p="http://schemas.microsoft.com/office/2006/metadata/properties" xmlns:ns2="bae47bb7-4919-4a7c-9c47-d7168d13992d" targetNamespace="http://schemas.microsoft.com/office/2006/metadata/properties" ma:root="true" ma:fieldsID="1eef1566cd3b03fe212e38316cd25d9e" ns2:_="">
    <xsd:import namespace="bae47bb7-4919-4a7c-9c47-d7168d13992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e47bb7-4919-4a7c-9c47-d7168d1399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C3A790-9402-4DFB-BDF6-4A55985F80A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39052C7B-0356-4133-A398-56470BE3A55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B8AA71F-5455-4AE9-B889-2FDC953A207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ae47bb7-4919-4a7c-9c47-d7168d13992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69c428b0-0db1-4300-b2dd-9484759bca92}" enabled="1" method="Standard" siteId="{57952406-af28-43c8-b4de-a4e06f57476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Fiche d'embauche (2)</vt:lpstr>
      <vt:lpstr>Simulateur Mensuel</vt:lpstr>
      <vt:lpstr>Feuil2</vt:lpstr>
      <vt:lpstr>'Fiche d''embauche (2)'!Zone_d_impression</vt:lpstr>
    </vt:vector>
  </TitlesOfParts>
  <Manager/>
  <Company>Ciments Du Maroc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u815regragum</dc:creator>
  <cp:keywords/>
  <dc:description/>
  <cp:lastModifiedBy>Ragouby, Yousra (Casablanca) MAR</cp:lastModifiedBy>
  <cp:revision/>
  <cp:lastPrinted>2025-09-16T14:53:59Z</cp:lastPrinted>
  <dcterms:created xsi:type="dcterms:W3CDTF">2008-10-08T10:37:41Z</dcterms:created>
  <dcterms:modified xsi:type="dcterms:W3CDTF">2026-04-13T14:25:30Z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0x010100D05A64242E710043829FF0F2F5747814</vt:lpwstr>
  </property>
</Properties>
</file>